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4.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b8923118be15b654/Documents/"/>
    </mc:Choice>
  </mc:AlternateContent>
  <xr:revisionPtr revIDLastSave="0" documentId="8_{92B0F397-1C24-43EB-99EE-420BDECCEA32}" xr6:coauthVersionLast="47" xr6:coauthVersionMax="47" xr10:uidLastSave="{00000000-0000-0000-0000-000000000000}"/>
  <bookViews>
    <workbookView xWindow="-120" yWindow="-120" windowWidth="19440" windowHeight="11640" xr2:uid="{00000000-000D-0000-FFFF-FFFF00000000}"/>
  </bookViews>
  <sheets>
    <sheet name="Dashboard" sheetId="7" r:id="rId1"/>
    <sheet name="Tables_Charts" sheetId="2" state="hidden" r:id="rId2"/>
    <sheet name="Summary_Tables" sheetId="6" state="hidden" r:id="rId3"/>
    <sheet name="Pivot" sheetId="10" state="hidden" r:id="rId4"/>
    <sheet name="Refined_Data" sheetId="5" state="hidden" r:id="rId5"/>
    <sheet name="Sheet1" sheetId="11" state="hidden" r:id="rId6"/>
    <sheet name="Raw_Data" sheetId="1" state="hidden" r:id="rId7"/>
  </sheets>
  <definedNames>
    <definedName name="_xlnm._FilterDatabase" localSheetId="4" hidden="1">Refined_Data!$A$1:$O$102</definedName>
    <definedName name="_xlnm._FilterDatabase" localSheetId="1" hidden="1">Tables_Charts!$A$1:$O$102</definedName>
    <definedName name="_xlnm.Extract" localSheetId="4">Refined_Data!#REF!</definedName>
    <definedName name="_xlnm.Extract" localSheetId="1">Tables_Charts!$S$83:$S$172</definedName>
    <definedName name="Slicer_Sales_Channel">#N/A</definedName>
  </definedNames>
  <calcPr calcId="191029"/>
  <pivotCaches>
    <pivotCache cacheId="7" r:id="rId8"/>
    <pivotCache cacheId="8"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5" l="1"/>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2" i="5"/>
  <c r="T147" i="2"/>
  <c r="V83" i="2" s="1"/>
  <c r="W89" i="2"/>
  <c r="T30" i="2"/>
  <c r="AB30" i="2" s="1"/>
  <c r="T29" i="2"/>
  <c r="AB29" i="2"/>
  <c r="V31" i="2"/>
  <c r="T18" i="2"/>
  <c r="AB31" i="2"/>
  <c r="AB32" i="2"/>
  <c r="AB33" i="2"/>
  <c r="AB34" i="2"/>
  <c r="AB35" i="2"/>
  <c r="AB36" i="2"/>
  <c r="AB37" i="2"/>
  <c r="AB38" i="2"/>
  <c r="AB39" i="2"/>
  <c r="AB40" i="2"/>
  <c r="O102" i="5"/>
  <c r="N102" i="5"/>
  <c r="M102" i="5"/>
  <c r="L102" i="5"/>
  <c r="J102" i="5"/>
  <c r="G2" i="5"/>
  <c r="U163" i="2"/>
  <c r="U164" i="2"/>
  <c r="U165" i="2"/>
  <c r="U166" i="2"/>
  <c r="U167" i="2"/>
  <c r="U168" i="2"/>
  <c r="U169" i="2"/>
  <c r="U170" i="2"/>
  <c r="V56" i="2"/>
  <c r="T171" i="2"/>
  <c r="T170" i="2"/>
  <c r="T169" i="2"/>
  <c r="T168" i="2"/>
  <c r="T167" i="2"/>
  <c r="T166" i="2"/>
  <c r="T165" i="2"/>
  <c r="T164" i="2"/>
  <c r="T16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8" i="2"/>
  <c r="T149" i="2"/>
  <c r="T150" i="2"/>
  <c r="T151" i="2"/>
  <c r="T152" i="2"/>
  <c r="T153" i="2"/>
  <c r="T154" i="2"/>
  <c r="T155" i="2"/>
  <c r="T156" i="2"/>
  <c r="T157" i="2"/>
  <c r="T158" i="2"/>
  <c r="T83" i="2"/>
  <c r="V57" i="2"/>
  <c r="V65" i="2"/>
  <c r="T57" i="2"/>
  <c r="T58" i="2"/>
  <c r="T59" i="2"/>
  <c r="T60" i="2"/>
  <c r="T61" i="2"/>
  <c r="T62" i="2"/>
  <c r="T63" i="2"/>
  <c r="T64" i="2"/>
  <c r="T65" i="2"/>
  <c r="T66" i="2"/>
  <c r="T67" i="2"/>
  <c r="T56" i="2"/>
  <c r="U57" i="2"/>
  <c r="U58" i="2"/>
  <c r="V58" i="2" s="1"/>
  <c r="U59" i="2"/>
  <c r="V59" i="2" s="1"/>
  <c r="U60" i="2"/>
  <c r="V60" i="2" s="1"/>
  <c r="U61" i="2"/>
  <c r="V61" i="2" s="1"/>
  <c r="U62" i="2"/>
  <c r="V62" i="2" s="1"/>
  <c r="U63" i="2"/>
  <c r="V63" i="2" s="1"/>
  <c r="U64" i="2"/>
  <c r="V64" i="2" s="1"/>
  <c r="U65" i="2"/>
  <c r="U66" i="2"/>
  <c r="V66" i="2" s="1"/>
  <c r="U67" i="2"/>
  <c r="V67" i="2" s="1"/>
  <c r="U56" i="2"/>
  <c r="T46" i="2"/>
  <c r="T47" i="2"/>
  <c r="T48" i="2"/>
  <c r="T49" i="2"/>
  <c r="T50" i="2"/>
  <c r="T51" i="2"/>
  <c r="T45" i="2"/>
  <c r="T7" i="2"/>
  <c r="T8" i="2"/>
  <c r="T9" i="2"/>
  <c r="T10" i="2"/>
  <c r="T11" i="2"/>
  <c r="T12" i="2"/>
  <c r="T6" i="2"/>
  <c r="O102" i="2"/>
  <c r="N102" i="2"/>
  <c r="M102" i="2"/>
  <c r="L102" i="2"/>
  <c r="J102" i="2"/>
  <c r="G15" i="2"/>
  <c r="G16" i="2"/>
  <c r="G17" i="2"/>
  <c r="G18" i="2"/>
  <c r="AA37" i="2" s="1"/>
  <c r="G19" i="2"/>
  <c r="G20" i="2"/>
  <c r="G21" i="2"/>
  <c r="T39" i="2" s="1"/>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5" i="2"/>
  <c r="AA32" i="2" s="1"/>
  <c r="G6" i="2"/>
  <c r="G7" i="2"/>
  <c r="G8" i="2"/>
  <c r="G9" i="2"/>
  <c r="AA34" i="2" s="1"/>
  <c r="G10" i="2"/>
  <c r="G11" i="2"/>
  <c r="G12" i="2"/>
  <c r="G13" i="2"/>
  <c r="AA36" i="2" s="1"/>
  <c r="G14" i="2"/>
  <c r="G4" i="2"/>
  <c r="G3" i="2"/>
  <c r="G2" i="2"/>
  <c r="T73" i="2" s="1"/>
  <c r="V85" i="2" l="1"/>
  <c r="V92" i="2"/>
  <c r="V84" i="2"/>
  <c r="W83" i="2"/>
  <c r="W92" i="2"/>
  <c r="W86" i="2"/>
  <c r="V90" i="2"/>
  <c r="W91" i="2"/>
  <c r="V89" i="2"/>
  <c r="W84" i="2"/>
  <c r="V86" i="2"/>
  <c r="W85" i="2"/>
  <c r="V91" i="2"/>
  <c r="W90" i="2"/>
  <c r="AB41" i="2"/>
  <c r="AA33" i="2"/>
  <c r="T159" i="2"/>
  <c r="T31" i="2"/>
  <c r="AA40" i="2"/>
  <c r="AA30" i="2"/>
  <c r="T13" i="2"/>
  <c r="T35" i="2"/>
  <c r="AA38" i="2"/>
  <c r="T23" i="2"/>
  <c r="T19" i="2"/>
  <c r="T38" i="2"/>
  <c r="T34" i="2"/>
  <c r="U39" i="2"/>
  <c r="U35" i="2"/>
  <c r="U31" i="2"/>
  <c r="V39" i="2"/>
  <c r="V35" i="2"/>
  <c r="W39" i="2"/>
  <c r="W35" i="2"/>
  <c r="W31" i="2"/>
  <c r="X39" i="2"/>
  <c r="X35" i="2"/>
  <c r="X31" i="2"/>
  <c r="Y39" i="2"/>
  <c r="Y35" i="2"/>
  <c r="Y31" i="2"/>
  <c r="Z39" i="2"/>
  <c r="Z35" i="2"/>
  <c r="Z31" i="2"/>
  <c r="AA39" i="2"/>
  <c r="AA35" i="2"/>
  <c r="AA31" i="2"/>
  <c r="T72" i="2"/>
  <c r="T76" i="2"/>
  <c r="T22" i="2"/>
  <c r="T37" i="2"/>
  <c r="T33" i="2"/>
  <c r="U38" i="2"/>
  <c r="U34" i="2"/>
  <c r="U30" i="2"/>
  <c r="V38" i="2"/>
  <c r="V34" i="2"/>
  <c r="V30" i="2"/>
  <c r="W38" i="2"/>
  <c r="W34" i="2"/>
  <c r="W30" i="2"/>
  <c r="X38" i="2"/>
  <c r="X34" i="2"/>
  <c r="X30" i="2"/>
  <c r="Y38" i="2"/>
  <c r="Y34" i="2"/>
  <c r="Y30" i="2"/>
  <c r="Z38" i="2"/>
  <c r="Z34" i="2"/>
  <c r="Z30" i="2"/>
  <c r="T52" i="2"/>
  <c r="U45" i="2" s="1"/>
  <c r="T79" i="2"/>
  <c r="T75" i="2"/>
  <c r="T17" i="2"/>
  <c r="T25" i="2" s="1"/>
  <c r="T21" i="2"/>
  <c r="T40" i="2"/>
  <c r="T36" i="2"/>
  <c r="T32" i="2"/>
  <c r="U29" i="2"/>
  <c r="U37" i="2"/>
  <c r="U33" i="2"/>
  <c r="V29" i="2"/>
  <c r="V37" i="2"/>
  <c r="V33" i="2"/>
  <c r="W29" i="2"/>
  <c r="W37" i="2"/>
  <c r="W33" i="2"/>
  <c r="X29" i="2"/>
  <c r="X37" i="2"/>
  <c r="X33" i="2"/>
  <c r="Y29" i="2"/>
  <c r="Y37" i="2"/>
  <c r="Y33" i="2"/>
  <c r="Z29" i="2"/>
  <c r="Z37" i="2"/>
  <c r="Z33" i="2"/>
  <c r="AA29" i="2"/>
  <c r="U68" i="2"/>
  <c r="T78" i="2"/>
  <c r="T74" i="2"/>
  <c r="T24" i="2"/>
  <c r="T20" i="2"/>
  <c r="U40" i="2"/>
  <c r="U36" i="2"/>
  <c r="U32" i="2"/>
  <c r="V40" i="2"/>
  <c r="V36" i="2"/>
  <c r="V32" i="2"/>
  <c r="W40" i="2"/>
  <c r="W36" i="2"/>
  <c r="W32" i="2"/>
  <c r="X40" i="2"/>
  <c r="X36" i="2"/>
  <c r="X32" i="2"/>
  <c r="Y40" i="2"/>
  <c r="Y36" i="2"/>
  <c r="Y32" i="2"/>
  <c r="Z40" i="2"/>
  <c r="Z36" i="2"/>
  <c r="Z32" i="2"/>
  <c r="T68" i="2"/>
  <c r="T77" i="2"/>
  <c r="AA41" i="2" l="1"/>
  <c r="X41" i="2"/>
  <c r="U47" i="2"/>
  <c r="Y41" i="2"/>
  <c r="U41" i="2"/>
  <c r="T41" i="2"/>
  <c r="U49" i="2"/>
  <c r="U51" i="2"/>
  <c r="V68" i="2"/>
  <c r="Z41" i="2"/>
  <c r="V41" i="2"/>
  <c r="U46" i="2"/>
  <c r="U52" i="2" s="1"/>
  <c r="U48" i="2"/>
  <c r="W41" i="2"/>
  <c r="U50" i="2"/>
</calcChain>
</file>

<file path=xl/sharedStrings.xml><?xml version="1.0" encoding="utf-8"?>
<sst xmlns="http://schemas.openxmlformats.org/spreadsheetml/2006/main" count="1926" uniqueCount="160">
  <si>
    <t>Region</t>
  </si>
  <si>
    <t>Country</t>
  </si>
  <si>
    <t>Item Type</t>
  </si>
  <si>
    <t>Sales Channel</t>
  </si>
  <si>
    <t>Order Priority</t>
  </si>
  <si>
    <t>Order Date</t>
  </si>
  <si>
    <t>Order ID</t>
  </si>
  <si>
    <t>Ship Date</t>
  </si>
  <si>
    <t>Units Sold</t>
  </si>
  <si>
    <t>Unit Price</t>
  </si>
  <si>
    <t>Unit Cost</t>
  </si>
  <si>
    <t>Total Revenue</t>
  </si>
  <si>
    <t>Total Cost</t>
  </si>
  <si>
    <t>Total Profit</t>
  </si>
  <si>
    <t>Australia and Oceania</t>
  </si>
  <si>
    <t>Tuvalu</t>
  </si>
  <si>
    <t>Baby Food</t>
  </si>
  <si>
    <t>Offline</t>
  </si>
  <si>
    <t>H</t>
  </si>
  <si>
    <t>Central America and the Caribbean</t>
  </si>
  <si>
    <t>Grenada</t>
  </si>
  <si>
    <t>Cereal</t>
  </si>
  <si>
    <t>Online</t>
  </si>
  <si>
    <t>C</t>
  </si>
  <si>
    <t>Europe</t>
  </si>
  <si>
    <t>Russia</t>
  </si>
  <si>
    <t>Office Supplies</t>
  </si>
  <si>
    <t>L</t>
  </si>
  <si>
    <t>Sub-Saharan Africa</t>
  </si>
  <si>
    <t>Sao Tome and Principe</t>
  </si>
  <si>
    <t>Fruits</t>
  </si>
  <si>
    <t>Rwanda</t>
  </si>
  <si>
    <t>Solomon Islands</t>
  </si>
  <si>
    <t>Angola</t>
  </si>
  <si>
    <t>Household</t>
  </si>
  <si>
    <t>M</t>
  </si>
  <si>
    <t>Burkina Faso</t>
  </si>
  <si>
    <t>Vegetables</t>
  </si>
  <si>
    <t>Republic of the Congo</t>
  </si>
  <si>
    <t>Personal Care</t>
  </si>
  <si>
    <t>Senegal</t>
  </si>
  <si>
    <t>Asia</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</si>
  <si>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</si>
  <si>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</si>
  <si>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</si>
  <si>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</si>
  <si>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</si>
  <si>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</si>
  <si>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</si>
  <si>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</si>
  <si>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</si>
  <si>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</si>
  <si>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</si>
  <si>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</si>
  <si>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</si>
  <si>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</si>
  <si>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</si>
  <si>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</si>
  <si>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Snacks</t>
  </si>
  <si>
    <t>New Zealand</t>
  </si>
  <si>
    <t xml:space="preserve">Moldova </t>
  </si>
  <si>
    <t>France</t>
  </si>
  <si>
    <t>Kiribati</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</si>
  <si>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</si>
  <si>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</si>
  <si>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</si>
  <si>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</si>
  <si>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</si>
  <si>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</si>
  <si>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</si>
  <si>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</si>
  <si>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</si>
  <si>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</si>
  <si>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</si>
  <si>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</si>
  <si>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</si>
  <si>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</si>
  <si>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</si>
  <si>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</si>
  <si>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</si>
  <si>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</si>
  <si>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</si>
  <si>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</si>
  <si>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</si>
  <si>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</si>
  <si>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</si>
  <si>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</si>
  <si>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</si>
  <si>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</si>
  <si>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</si>
  <si>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</si>
  <si>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</si>
  <si>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</si>
  <si>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</si>
  <si>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</si>
  <si>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</si>
  <si>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</si>
  <si>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</si>
  <si>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</si>
  <si>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</si>
  <si>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</si>
  <si>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</si>
  <si>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</si>
  <si>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</si>
  <si>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</si>
  <si>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</si>
  <si>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</si>
  <si>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</si>
  <si>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</si>
  <si>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</si>
  <si>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</si>
  <si>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</si>
  <si>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</si>
  <si>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</si>
  <si>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</si>
  <si>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Year</t>
  </si>
  <si>
    <t>Unit Price (£)</t>
  </si>
  <si>
    <t>Unit Cost (£)</t>
  </si>
  <si>
    <t>Total Revenue (£)</t>
  </si>
  <si>
    <t>Total Cost (£)</t>
  </si>
  <si>
    <t>Total Profit (£)</t>
  </si>
  <si>
    <t>Sum of Units Sold</t>
  </si>
  <si>
    <t>Sum of Total Revenue (£)</t>
  </si>
  <si>
    <t>Sum of Total Profit (£)</t>
  </si>
  <si>
    <t>Regions</t>
  </si>
  <si>
    <t>Total profit (£)</t>
  </si>
  <si>
    <t>Revenue (£)</t>
  </si>
  <si>
    <t>Total</t>
  </si>
  <si>
    <t>Rate (%)</t>
  </si>
  <si>
    <t>Rank</t>
  </si>
  <si>
    <t>YoY Growth Rate (%)</t>
  </si>
  <si>
    <t>Average Profit £)</t>
  </si>
  <si>
    <t>5. Gross Profit Margin Per Item Type</t>
  </si>
  <si>
    <t>2. Total Revenue Per Year</t>
  </si>
  <si>
    <t>1. Total Profit Per Region</t>
  </si>
  <si>
    <t>3. Year-on-Year Comparison of Quantity Sold Per Item Type</t>
  </si>
  <si>
    <t>4. Rate of Total Revenue Earned Per Region</t>
  </si>
  <si>
    <t>Profit Margin (%)</t>
  </si>
  <si>
    <r>
      <t>Item Types\</t>
    </r>
    <r>
      <rPr>
        <b/>
        <sz val="11"/>
        <color rgb="FF0070C0"/>
        <rFont val="Calibri"/>
        <family val="2"/>
        <scheme val="minor"/>
      </rPr>
      <t>Year</t>
    </r>
  </si>
  <si>
    <t>6. Average Profit Per Year</t>
  </si>
  <si>
    <t>7. Countries with Highest and Lowest Revenue</t>
  </si>
  <si>
    <t>(a) Top 4 Countries with Highest Revenue</t>
  </si>
  <si>
    <t>(b) Top 4 Countries with Lowest Revenue</t>
  </si>
  <si>
    <t>8. Year-on-Year Revenue Growth Rate</t>
  </si>
  <si>
    <t>Row Labels</t>
  </si>
  <si>
    <t>Grand Total</t>
  </si>
  <si>
    <t>Column Labels</t>
  </si>
  <si>
    <t>Product</t>
  </si>
  <si>
    <t xml:space="preserve">Share of  Revenue </t>
  </si>
  <si>
    <t>Profit Per Product (£)</t>
  </si>
  <si>
    <t>SYLIP CORPORATION</t>
  </si>
  <si>
    <t>Summary Charts</t>
  </si>
  <si>
    <t>Gross Margin</t>
  </si>
  <si>
    <t>Average of Total Revenue (£)</t>
  </si>
  <si>
    <t>Average of Total Profit (£)</t>
  </si>
  <si>
    <t>YoY Growth%</t>
  </si>
  <si>
    <t>Revenue %</t>
  </si>
  <si>
    <t>Profit %</t>
  </si>
  <si>
    <t>SALES REPORT DASHBORAD FOR 2010-2017</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</si>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</sst>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409]m/d/yy\ h:mm\ AM/PM;@"/>
    <numFmt numFmtId="165" formatCode="dd/mm/yyyy;@"/>
    <numFmt numFmtId="166" formatCode="_-* #,##0_-;\-* #,##0_-;_-* &quot;-&quot;??_-;_-@_-"/>
  </numFmts>
  <fonts count="24" x14ac:knownFonts="1">
    <font>
      <sz val="11"/>
      <color theme="1"/>
      <name val="Calibri"/>
      <family val="2"/>
      <scheme val="minor"/>
    </font>
    <font>
      <sz val="11"/>
      <color indexed="8"/>
      <name val="Calibri"/>
      <family val="2"/>
    </font>
    <font>
      <b/>
      <sz val="11"/>
      <color indexed="54"/>
      <name val="Calibri"/>
      <family val="2"/>
    </font>
    <font>
      <sz val="11"/>
      <color indexed="52"/>
      <name val="Calibri"/>
      <family val="2"/>
    </font>
    <font>
      <sz val="18"/>
      <color indexed="54"/>
      <name val="Calibri Light"/>
      <family val="2"/>
    </font>
    <font>
      <b/>
      <sz val="15"/>
      <color indexed="54"/>
      <name val="Calibri"/>
      <family val="2"/>
    </font>
    <font>
      <b/>
      <sz val="11"/>
      <color indexed="54"/>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indexed="52"/>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3"/>
      <color indexed="54"/>
      <name val="Calibri"/>
      <family val="2"/>
      <scheme val="minor"/>
    </font>
    <font>
      <sz val="11"/>
      <color rgb="FF3F3F76"/>
      <name val="Calibri"/>
      <family val="2"/>
      <scheme val="minor"/>
    </font>
    <font>
      <sz val="11"/>
      <color indexed="6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b/>
      <sz val="11"/>
      <name val="Calibri"/>
      <family val="2"/>
      <scheme val="minor"/>
    </font>
    <font>
      <b/>
      <sz val="11"/>
      <color rgb="FF0070C0"/>
      <name val="Calibri"/>
      <family val="2"/>
      <scheme val="minor"/>
    </font>
    <font>
      <sz val="11"/>
      <name val="Calibri"/>
      <family val="2"/>
      <scheme val="minor"/>
    </font>
    <font>
      <b/>
      <sz val="24"/>
      <color theme="1"/>
      <name val="Cambria"/>
      <family val="1"/>
    </font>
  </fonts>
  <fills count="25">
    <fill>
      <patternFill patternType="none"/>
    </fill>
    <fill>
      <patternFill patternType="gray125"/>
    </fill>
    <fill>
      <patternFill patternType="solid">
        <fgColor indexed="27"/>
      </patternFill>
    </fill>
    <fill>
      <patternFill patternType="solid">
        <fgColor indexed="22"/>
      </patternFill>
    </fill>
    <fill>
      <patternFill patternType="solid">
        <fgColor indexed="9"/>
      </patternFill>
    </fill>
    <fill>
      <patternFill patternType="solid">
        <fgColor indexed="31"/>
      </patternFill>
    </fill>
    <fill>
      <patternFill patternType="solid">
        <fgColor indexed="42"/>
      </patternFill>
    </fill>
    <fill>
      <patternFill patternType="solid">
        <fgColor indexed="43"/>
      </patternFill>
    </fill>
    <fill>
      <patternFill patternType="solid">
        <fgColor indexed="49"/>
      </patternFill>
    </fill>
    <fill>
      <patternFill patternType="solid">
        <fgColor indexed="57"/>
      </patternFill>
    </fill>
    <fill>
      <patternFill patternType="solid">
        <fgColor indexed="62"/>
      </patternFill>
    </fill>
    <fill>
      <patternFill patternType="solid">
        <fgColor indexed="53"/>
      </patternFill>
    </fill>
    <fill>
      <patternFill patternType="solid">
        <fgColor indexed="51"/>
      </patternFill>
    </fill>
    <fill>
      <patternFill patternType="solid">
        <fgColor indexed="45"/>
      </patternFill>
    </fill>
    <fill>
      <patternFill patternType="solid">
        <fgColor theme="7"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6"/>
      </patternFill>
    </fill>
    <fill>
      <patternFill patternType="solid">
        <fgColor rgb="FFA5A5A5"/>
      </patternFill>
    </fill>
    <fill>
      <patternFill patternType="solid">
        <fgColor rgb="FFFFEB9C"/>
      </patternFill>
    </fill>
    <fill>
      <patternFill patternType="solid">
        <fgColor rgb="FFFFFFCC"/>
      </patternFill>
    </fill>
    <fill>
      <patternFill patternType="solid">
        <fgColor rgb="FF00B0F0"/>
        <bgColor indexed="64"/>
      </patternFill>
    </fill>
  </fills>
  <borders count="20">
    <border>
      <left/>
      <right/>
      <top/>
      <bottom/>
      <diagonal/>
    </border>
    <border>
      <left/>
      <right/>
      <top/>
      <bottom style="thick">
        <color indexed="62"/>
      </bottom>
      <diagonal/>
    </border>
    <border>
      <left/>
      <right/>
      <top/>
      <bottom style="medium">
        <color indexed="49"/>
      </bottom>
      <diagonal/>
    </border>
    <border>
      <left/>
      <right/>
      <top/>
      <bottom style="double">
        <color indexed="52"/>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44">
    <xf numFmtId="164" fontId="0" fillId="0" borderId="0"/>
    <xf numFmtId="164" fontId="7" fillId="2" borderId="0" applyNumberFormat="0" applyBorder="0" applyAlignment="0" applyProtection="0"/>
    <xf numFmtId="164" fontId="7" fillId="3" borderId="0" applyNumberFormat="0" applyBorder="0" applyAlignment="0" applyProtection="0"/>
    <xf numFmtId="164" fontId="7" fillId="4" borderId="0" applyNumberFormat="0" applyBorder="0" applyAlignment="0" applyProtection="0"/>
    <xf numFmtId="164" fontId="7" fillId="14" borderId="0" applyNumberFormat="0" applyBorder="0" applyAlignment="0" applyProtection="0"/>
    <xf numFmtId="164" fontId="7" fillId="5" borderId="0" applyNumberFormat="0" applyBorder="0" applyAlignment="0" applyProtection="0"/>
    <xf numFmtId="164" fontId="7" fillId="6" borderId="0" applyNumberFormat="0" applyBorder="0" applyAlignment="0" applyProtection="0"/>
    <xf numFmtId="164" fontId="7" fillId="15" borderId="0" applyNumberFormat="0" applyBorder="0" applyAlignment="0" applyProtection="0"/>
    <xf numFmtId="164" fontId="7" fillId="3" borderId="0" applyNumberFormat="0" applyBorder="0" applyAlignment="0" applyProtection="0"/>
    <xf numFmtId="164" fontId="7" fillId="3" borderId="0" applyNumberFormat="0" applyBorder="0" applyAlignment="0" applyProtection="0"/>
    <xf numFmtId="164" fontId="7" fillId="16" borderId="0" applyNumberFormat="0" applyBorder="0" applyAlignment="0" applyProtection="0"/>
    <xf numFmtId="164" fontId="7" fillId="17" borderId="0" applyNumberFormat="0" applyBorder="0" applyAlignment="0" applyProtection="0"/>
    <xf numFmtId="164" fontId="7" fillId="7" borderId="0" applyNumberFormat="0" applyBorder="0" applyAlignment="0" applyProtection="0"/>
    <xf numFmtId="164" fontId="8" fillId="8" borderId="0" applyNumberFormat="0" applyBorder="0" applyAlignment="0" applyProtection="0"/>
    <xf numFmtId="164" fontId="8" fillId="3" borderId="0" applyNumberFormat="0" applyBorder="0" applyAlignment="0" applyProtection="0"/>
    <xf numFmtId="164" fontId="8" fillId="18" borderId="0" applyNumberFormat="0" applyBorder="0" applyAlignment="0" applyProtection="0"/>
    <xf numFmtId="164" fontId="8" fillId="19" borderId="0" applyNumberFormat="0" applyBorder="0" applyAlignment="0" applyProtection="0"/>
    <xf numFmtId="164" fontId="8" fillId="8" borderId="0" applyNumberFormat="0" applyBorder="0" applyAlignment="0" applyProtection="0"/>
    <xf numFmtId="164" fontId="8" fillId="9" borderId="0" applyNumberFormat="0" applyBorder="0" applyAlignment="0" applyProtection="0"/>
    <xf numFmtId="164" fontId="8" fillId="10" borderId="0" applyNumberFormat="0" applyBorder="0" applyAlignment="0" applyProtection="0"/>
    <xf numFmtId="164" fontId="8" fillId="11" borderId="0" applyNumberFormat="0" applyBorder="0" applyAlignment="0" applyProtection="0"/>
    <xf numFmtId="164" fontId="8" fillId="20" borderId="0" applyNumberFormat="0" applyBorder="0" applyAlignment="0" applyProtection="0"/>
    <xf numFmtId="164" fontId="8" fillId="12" borderId="0" applyNumberFormat="0" applyBorder="0" applyAlignment="0" applyProtection="0"/>
    <xf numFmtId="164" fontId="8" fillId="10" borderId="0" applyNumberFormat="0" applyBorder="0" applyAlignment="0" applyProtection="0"/>
    <xf numFmtId="164" fontId="8" fillId="9" borderId="0" applyNumberFormat="0" applyBorder="0" applyAlignment="0" applyProtection="0"/>
    <xf numFmtId="164" fontId="9" fillId="13" borderId="0" applyNumberFormat="0" applyBorder="0" applyAlignment="0" applyProtection="0"/>
    <xf numFmtId="164" fontId="10" fillId="3" borderId="5" applyNumberFormat="0" applyAlignment="0" applyProtection="0"/>
    <xf numFmtId="164" fontId="11" fillId="21" borderId="6" applyNumberFormat="0" applyAlignment="0" applyProtection="0"/>
    <xf numFmtId="164" fontId="12" fillId="0" borderId="0" applyNumberFormat="0" applyFill="0" applyBorder="0" applyAlignment="0" applyProtection="0"/>
    <xf numFmtId="164" fontId="13" fillId="6" borderId="0" applyNumberFormat="0" applyBorder="0" applyAlignment="0" applyProtection="0"/>
    <xf numFmtId="164" fontId="5" fillId="0" borderId="1" applyNumberFormat="0" applyFill="0" applyAlignment="0" applyProtection="0"/>
    <xf numFmtId="164" fontId="14" fillId="0" borderId="7" applyNumberFormat="0" applyFill="0" applyAlignment="0" applyProtection="0"/>
    <xf numFmtId="164" fontId="6" fillId="0" borderId="2" applyNumberFormat="0" applyFill="0" applyAlignment="0" applyProtection="0"/>
    <xf numFmtId="164" fontId="2" fillId="0" borderId="0" applyNumberFormat="0" applyFill="0" applyBorder="0" applyAlignment="0" applyProtection="0"/>
    <xf numFmtId="164" fontId="15" fillId="3" borderId="5" applyNumberFormat="0" applyAlignment="0" applyProtection="0"/>
    <xf numFmtId="164" fontId="3" fillId="0" borderId="3" applyNumberFormat="0" applyFill="0" applyAlignment="0" applyProtection="0"/>
    <xf numFmtId="164" fontId="16" fillId="22" borderId="0" applyNumberFormat="0" applyBorder="0" applyAlignment="0" applyProtection="0"/>
    <xf numFmtId="164" fontId="1" fillId="23" borderId="8" applyNumberFormat="0" applyFont="0" applyAlignment="0" applyProtection="0"/>
    <xf numFmtId="164" fontId="17" fillId="3" borderId="9" applyNumberFormat="0" applyAlignment="0" applyProtection="0"/>
    <xf numFmtId="164" fontId="4" fillId="0" borderId="0" applyNumberFormat="0" applyFill="0" applyBorder="0" applyAlignment="0" applyProtection="0"/>
    <xf numFmtId="164" fontId="18" fillId="0" borderId="4" applyNumberFormat="0" applyFill="0" applyAlignment="0" applyProtection="0"/>
    <xf numFmtId="164" fontId="19"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cellStyleXfs>
  <cellXfs count="71">
    <xf numFmtId="164" fontId="0" fillId="0" borderId="0" xfId="0"/>
    <xf numFmtId="0" fontId="0" fillId="0" borderId="0" xfId="0" applyNumberFormat="1"/>
    <xf numFmtId="165" fontId="0" fillId="0" borderId="0" xfId="0" applyNumberFormat="1"/>
    <xf numFmtId="49" fontId="0" fillId="0" borderId="0" xfId="0" applyNumberFormat="1"/>
    <xf numFmtId="43" fontId="0" fillId="0" borderId="0" xfId="42" applyFont="1"/>
    <xf numFmtId="166" fontId="0" fillId="0" borderId="0" xfId="42" applyNumberFormat="1" applyFont="1"/>
    <xf numFmtId="164" fontId="0" fillId="0" borderId="10" xfId="0" applyBorder="1"/>
    <xf numFmtId="165" fontId="0" fillId="0" borderId="10" xfId="0" applyNumberFormat="1" applyBorder="1"/>
    <xf numFmtId="49" fontId="0" fillId="0" borderId="10" xfId="0" applyNumberFormat="1" applyBorder="1"/>
    <xf numFmtId="0" fontId="0" fillId="0" borderId="10" xfId="0" applyNumberFormat="1" applyBorder="1"/>
    <xf numFmtId="166" fontId="0" fillId="0" borderId="10" xfId="42" applyNumberFormat="1" applyFont="1" applyBorder="1"/>
    <xf numFmtId="43" fontId="0" fillId="0" borderId="10" xfId="42" applyFont="1" applyBorder="1"/>
    <xf numFmtId="164" fontId="18" fillId="0" borderId="10" xfId="0" applyFont="1" applyBorder="1"/>
    <xf numFmtId="165" fontId="18" fillId="0" borderId="10" xfId="0" applyNumberFormat="1" applyFont="1" applyBorder="1"/>
    <xf numFmtId="49" fontId="18" fillId="0" borderId="10" xfId="0" applyNumberFormat="1" applyFont="1" applyBorder="1"/>
    <xf numFmtId="0" fontId="18" fillId="0" borderId="10" xfId="0" applyNumberFormat="1" applyFont="1" applyBorder="1"/>
    <xf numFmtId="166" fontId="18" fillId="0" borderId="10" xfId="42" applyNumberFormat="1" applyFont="1" applyBorder="1"/>
    <xf numFmtId="43" fontId="18" fillId="0" borderId="10" xfId="42" applyFont="1" applyBorder="1"/>
    <xf numFmtId="43" fontId="0" fillId="0" borderId="10" xfId="42" applyFont="1" applyBorder="1" applyAlignment="1">
      <alignment horizontal="right"/>
    </xf>
    <xf numFmtId="164" fontId="18" fillId="0" borderId="10" xfId="0" applyFont="1" applyBorder="1" applyAlignment="1">
      <alignment horizontal="right"/>
    </xf>
    <xf numFmtId="49" fontId="21" fillId="0" borderId="10" xfId="0" applyNumberFormat="1" applyFont="1" applyBorder="1" applyAlignment="1">
      <alignment horizontal="right"/>
    </xf>
    <xf numFmtId="166" fontId="0" fillId="0" borderId="11" xfId="42" applyNumberFormat="1" applyFont="1" applyBorder="1"/>
    <xf numFmtId="164" fontId="20" fillId="0" borderId="10" xfId="0" applyFont="1" applyBorder="1" applyAlignment="1">
      <alignment horizontal="left"/>
    </xf>
    <xf numFmtId="2" fontId="0" fillId="0" borderId="10" xfId="0" applyNumberFormat="1" applyBorder="1"/>
    <xf numFmtId="2" fontId="18" fillId="0" borderId="10" xfId="0" applyNumberFormat="1" applyFont="1" applyBorder="1"/>
    <xf numFmtId="164" fontId="22" fillId="0" borderId="10" xfId="0" applyFont="1" applyBorder="1"/>
    <xf numFmtId="0" fontId="0" fillId="0" borderId="10" xfId="0" applyNumberFormat="1" applyBorder="1" applyAlignment="1">
      <alignment horizontal="left"/>
    </xf>
    <xf numFmtId="43" fontId="18" fillId="0" borderId="10" xfId="42" applyFont="1" applyBorder="1" applyAlignment="1">
      <alignment horizontal="right"/>
    </xf>
    <xf numFmtId="0" fontId="18" fillId="0" borderId="10" xfId="0" applyNumberFormat="1" applyFont="1" applyBorder="1" applyAlignment="1">
      <alignment horizontal="left"/>
    </xf>
    <xf numFmtId="43" fontId="18" fillId="0" borderId="10" xfId="42" applyFont="1" applyFill="1" applyBorder="1" applyAlignment="1">
      <alignment horizontal="right"/>
    </xf>
    <xf numFmtId="164" fontId="22" fillId="0" borderId="11" xfId="0" applyFont="1" applyBorder="1"/>
    <xf numFmtId="1" fontId="0" fillId="0" borderId="10" xfId="42" applyNumberFormat="1" applyFont="1" applyBorder="1"/>
    <xf numFmtId="1" fontId="18" fillId="0" borderId="10" xfId="42" applyNumberFormat="1" applyFont="1" applyBorder="1"/>
    <xf numFmtId="164" fontId="0" fillId="0" borderId="10" xfId="0" pivotButton="1" applyBorder="1"/>
    <xf numFmtId="164" fontId="0" fillId="0" borderId="10" xfId="0" applyBorder="1" applyAlignment="1">
      <alignment horizontal="left"/>
    </xf>
    <xf numFmtId="43" fontId="0" fillId="0" borderId="10" xfId="0" applyNumberFormat="1" applyBorder="1"/>
    <xf numFmtId="49" fontId="0" fillId="0" borderId="10" xfId="0" applyNumberFormat="1" applyBorder="1" applyAlignment="1">
      <alignment horizontal="left"/>
    </xf>
    <xf numFmtId="164" fontId="0" fillId="0" borderId="10" xfId="0" applyBorder="1" applyAlignment="1">
      <alignment wrapText="1"/>
    </xf>
    <xf numFmtId="10" fontId="0" fillId="0" borderId="10" xfId="0" applyNumberFormat="1" applyBorder="1"/>
    <xf numFmtId="43" fontId="18" fillId="0" borderId="10" xfId="42" applyFont="1" applyFill="1" applyBorder="1"/>
    <xf numFmtId="164" fontId="21" fillId="0" borderId="10" xfId="0" applyFont="1" applyBorder="1" applyAlignment="1">
      <alignment horizontal="right"/>
    </xf>
    <xf numFmtId="164" fontId="0" fillId="0" borderId="10" xfId="0" pivotButton="1" applyBorder="1" applyAlignment="1">
      <alignment vertical="center"/>
    </xf>
    <xf numFmtId="164" fontId="0" fillId="0" borderId="10" xfId="0" applyBorder="1" applyAlignment="1">
      <alignment vertical="center" wrapText="1"/>
    </xf>
    <xf numFmtId="164" fontId="18" fillId="0" borderId="0" xfId="0" applyFont="1"/>
    <xf numFmtId="164" fontId="0" fillId="0" borderId="0" xfId="0" pivotButton="1"/>
    <xf numFmtId="164" fontId="0" fillId="0" borderId="0" xfId="0" applyAlignment="1">
      <alignment horizontal="left"/>
    </xf>
    <xf numFmtId="43" fontId="0" fillId="0" borderId="0" xfId="0" applyNumberFormat="1"/>
    <xf numFmtId="49" fontId="0" fillId="0" borderId="0" xfId="0" applyNumberFormat="1" applyAlignment="1">
      <alignment horizontal="left"/>
    </xf>
    <xf numFmtId="166" fontId="0" fillId="0" borderId="0" xfId="0" applyNumberFormat="1"/>
    <xf numFmtId="164" fontId="0" fillId="0" borderId="0" xfId="0" applyAlignment="1">
      <alignment horizontal="left" indent="1"/>
    </xf>
    <xf numFmtId="43" fontId="18" fillId="0" borderId="12" xfId="42" applyFont="1" applyFill="1" applyBorder="1"/>
    <xf numFmtId="9" fontId="0" fillId="0" borderId="10" xfId="43" applyFont="1" applyBorder="1"/>
    <xf numFmtId="10" fontId="0" fillId="0" borderId="0" xfId="0" applyNumberFormat="1"/>
    <xf numFmtId="164" fontId="0" fillId="0" borderId="0" xfId="0" applyAlignment="1">
      <alignment horizontal="right"/>
    </xf>
    <xf numFmtId="10" fontId="0" fillId="0" borderId="0" xfId="0" applyNumberFormat="1" applyAlignment="1">
      <alignment horizontal="right"/>
    </xf>
    <xf numFmtId="164" fontId="0" fillId="0" borderId="19" xfId="0" pivotButton="1" applyBorder="1"/>
    <xf numFmtId="164" fontId="0" fillId="0" borderId="13" xfId="0" pivotButton="1" applyBorder="1"/>
    <xf numFmtId="164" fontId="0" fillId="0" borderId="14" xfId="0" applyBorder="1"/>
    <xf numFmtId="164" fontId="0" fillId="0" borderId="15" xfId="0" applyBorder="1"/>
    <xf numFmtId="49" fontId="0" fillId="0" borderId="16" xfId="0" applyNumberFormat="1" applyBorder="1"/>
    <xf numFmtId="49" fontId="0" fillId="0" borderId="17" xfId="0" applyNumberFormat="1" applyBorder="1"/>
    <xf numFmtId="49" fontId="0" fillId="0" borderId="18" xfId="0" applyNumberFormat="1" applyBorder="1"/>
    <xf numFmtId="164" fontId="23" fillId="24" borderId="13" xfId="0" applyFont="1" applyFill="1" applyBorder="1" applyAlignment="1">
      <alignment horizontal="center" vertical="center"/>
    </xf>
    <xf numFmtId="164" fontId="23" fillId="24" borderId="14" xfId="0" applyFont="1" applyFill="1" applyBorder="1" applyAlignment="1">
      <alignment horizontal="center" vertical="center"/>
    </xf>
    <xf numFmtId="164" fontId="23" fillId="24" borderId="15" xfId="0" applyFont="1" applyFill="1" applyBorder="1" applyAlignment="1">
      <alignment horizontal="center" vertical="center"/>
    </xf>
    <xf numFmtId="164" fontId="23" fillId="24" borderId="16" xfId="0" applyFont="1" applyFill="1" applyBorder="1" applyAlignment="1">
      <alignment horizontal="center" vertical="center"/>
    </xf>
    <xf numFmtId="164" fontId="23" fillId="24" borderId="17" xfId="0" applyFont="1" applyFill="1" applyBorder="1" applyAlignment="1">
      <alignment horizontal="center" vertical="center"/>
    </xf>
    <xf numFmtId="164" fontId="23" fillId="24" borderId="18" xfId="0" applyFont="1" applyFill="1" applyBorder="1" applyAlignment="1">
      <alignment horizontal="center" vertical="center"/>
    </xf>
    <xf numFmtId="49" fontId="18" fillId="0" borderId="10" xfId="0" applyNumberFormat="1" applyFont="1" applyBorder="1" applyAlignment="1">
      <alignment horizontal="left"/>
    </xf>
    <xf numFmtId="164" fontId="18" fillId="0" borderId="10" xfId="0" applyFont="1" applyBorder="1" applyAlignment="1">
      <alignment horizontal="left"/>
    </xf>
    <xf numFmtId="164" fontId="20" fillId="0" borderId="10" xfId="0" applyFont="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2" builtinId="3"/>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Percent" xfId="43" builtinId="5"/>
    <cellStyle name="Title" xfId="39" builtinId="15" customBuiltin="1"/>
    <cellStyle name="Total" xfId="40" builtinId="25" customBuiltin="1"/>
    <cellStyle name="Warning Text" xfId="41" builtinId="11" customBuiltin="1"/>
  </cellStyles>
  <dxfs count="54">
    <dxf>
      <alignment horizontal="right"/>
    </dxf>
    <dxf>
      <numFmt numFmtId="14" formatCode="0.00%"/>
    </dxf>
    <dxf>
      <numFmt numFmtId="14" formatCode="0.00%"/>
    </dxf>
    <dxf>
      <alignment horizontal="right"/>
    </dxf>
    <dxf>
      <alignment horizontal="right"/>
    </dxf>
    <dxf>
      <border>
        <left style="thin">
          <color indexed="64"/>
        </lef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alignment vertical="center"/>
    </dxf>
    <dxf>
      <alignment vertical="center"/>
    </dxf>
    <dxf>
      <numFmt numFmtId="14" formatCode="0.00%"/>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[Sylip_Sales_Analysis.xlsx]Pivot!PivotTable26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t>REVENUE-GROSS</a:t>
            </a:r>
            <a:r>
              <a:rPr lang="en-GB" sz="1100" baseline="0"/>
              <a:t> MARGIN BY REGIONS</a:t>
            </a:r>
            <a:endParaRPr lang="en-GB" sz="1100"/>
          </a:p>
        </c:rich>
      </c:tx>
      <c:layout>
        <c:manualLayout>
          <c:xMode val="edge"/>
          <c:yMode val="edge"/>
          <c:x val="0.2201818168955296"/>
          <c:y val="3.07926509186351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9803149606299"/>
          <c:y val="0.12860892388451445"/>
          <c:w val="0.73682961504811895"/>
          <c:h val="0.39648403324584425"/>
        </c:manualLayout>
      </c:layout>
      <c:barChart>
        <c:barDir val="col"/>
        <c:grouping val="clustered"/>
        <c:varyColors val="0"/>
        <c:ser>
          <c:idx val="0"/>
          <c:order val="0"/>
          <c:tx>
            <c:strRef>
              <c:f>Pivot!$B$3</c:f>
              <c:strCache>
                <c:ptCount val="1"/>
                <c:pt idx="0">
                  <c:v>Sum of Total Revenue (£)</c:v>
                </c:pt>
              </c:strCache>
            </c:strRef>
          </c:tx>
          <c:spPr>
            <a:solidFill>
              <a:schemeClr val="accent1"/>
            </a:solidFill>
            <a:ln>
              <a:noFill/>
            </a:ln>
            <a:effectLst/>
          </c:spPr>
          <c:invertIfNegative val="0"/>
          <c:cat>
            <c:strRef>
              <c:f>Pivot!$A$4:$A$11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Pivot!$B$4:$B$11</c:f>
              <c:numCache>
                <c:formatCode>_(* #,##0.00_);_(* \(#,##0.00\);_(* "-"??_);_(@_)</c:formatCode>
                <c:ptCount val="7"/>
                <c:pt idx="0">
                  <c:v>21347091.020000003</c:v>
                </c:pt>
                <c:pt idx="1">
                  <c:v>14094265.130000003</c:v>
                </c:pt>
                <c:pt idx="2">
                  <c:v>9170385.4900000002</c:v>
                </c:pt>
                <c:pt idx="3">
                  <c:v>33368932.109999999</c:v>
                </c:pt>
                <c:pt idx="4">
                  <c:v>14052706.58</c:v>
                </c:pt>
                <c:pt idx="5">
                  <c:v>5643356.5500000007</c:v>
                </c:pt>
                <c:pt idx="6">
                  <c:v>39672031.430000007</c:v>
                </c:pt>
              </c:numCache>
            </c:numRef>
          </c:val>
          <c:extLst>
            <c:ext xmlns:c16="http://schemas.microsoft.com/office/drawing/2014/chart" uri="{C3380CC4-5D6E-409C-BE32-E72D297353CC}">
              <c16:uniqueId val="{00000000-811F-441E-87E9-970AB6CC6FC3}"/>
            </c:ext>
          </c:extLst>
        </c:ser>
        <c:ser>
          <c:idx val="1"/>
          <c:order val="1"/>
          <c:tx>
            <c:strRef>
              <c:f>Pivot!$C$3</c:f>
              <c:strCache>
                <c:ptCount val="1"/>
                <c:pt idx="0">
                  <c:v>Sum of Total Profit (£)</c:v>
                </c:pt>
              </c:strCache>
            </c:strRef>
          </c:tx>
          <c:spPr>
            <a:solidFill>
              <a:schemeClr val="accent2"/>
            </a:solidFill>
            <a:ln>
              <a:noFill/>
            </a:ln>
            <a:effectLst/>
          </c:spPr>
          <c:invertIfNegative val="0"/>
          <c:cat>
            <c:strRef>
              <c:f>Pivot!$A$4:$A$11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Pivot!$C$4:$C$11</c:f>
              <c:numCache>
                <c:formatCode>_(* #,##0.00_);_(* \(#,##0.00\);_(* "-"??_);_(@_)</c:formatCode>
                <c:ptCount val="7"/>
                <c:pt idx="0">
                  <c:v>6113845.8700000001</c:v>
                </c:pt>
                <c:pt idx="1">
                  <c:v>4722160.03</c:v>
                </c:pt>
                <c:pt idx="2">
                  <c:v>2846907.85</c:v>
                </c:pt>
                <c:pt idx="3">
                  <c:v>11082938.629999999</c:v>
                </c:pt>
                <c:pt idx="4">
                  <c:v>5761191.8599999994</c:v>
                </c:pt>
                <c:pt idx="5">
                  <c:v>1457942.76</c:v>
                </c:pt>
                <c:pt idx="6">
                  <c:v>12183211.400000004</c:v>
                </c:pt>
              </c:numCache>
            </c:numRef>
          </c:val>
          <c:extLst>
            <c:ext xmlns:c16="http://schemas.microsoft.com/office/drawing/2014/chart" uri="{C3380CC4-5D6E-409C-BE32-E72D297353CC}">
              <c16:uniqueId val="{00000001-811F-441E-87E9-970AB6CC6FC3}"/>
            </c:ext>
          </c:extLst>
        </c:ser>
        <c:dLbls>
          <c:showLegendKey val="0"/>
          <c:showVal val="0"/>
          <c:showCatName val="0"/>
          <c:showSerName val="0"/>
          <c:showPercent val="0"/>
          <c:showBubbleSize val="0"/>
        </c:dLbls>
        <c:gapWidth val="219"/>
        <c:overlap val="-27"/>
        <c:axId val="1280652400"/>
        <c:axId val="1280662000"/>
      </c:barChart>
      <c:catAx>
        <c:axId val="128065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62000"/>
        <c:crosses val="autoZero"/>
        <c:auto val="1"/>
        <c:lblAlgn val="ctr"/>
        <c:lblOffset val="100"/>
        <c:noMultiLvlLbl val="0"/>
      </c:catAx>
      <c:valAx>
        <c:axId val="128066200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2400"/>
        <c:crosses val="autoZero"/>
        <c:crossBetween val="between"/>
      </c:valAx>
      <c:spPr>
        <a:noFill/>
        <a:ln>
          <a:noFill/>
        </a:ln>
        <a:effectLst/>
      </c:spPr>
    </c:plotArea>
    <c:legend>
      <c:legendPos val="r"/>
      <c:layout>
        <c:manualLayout>
          <c:xMode val="edge"/>
          <c:yMode val="edge"/>
          <c:x val="0.78323773746181036"/>
          <c:y val="0.6468055495449454"/>
          <c:w val="0.20009558175726469"/>
          <c:h val="0.330693473301556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[Sylip_Sales_Analysis.xlsx]Pivot!PivotTable27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t>REVENUE</a:t>
            </a:r>
            <a:r>
              <a:rPr lang="en-GB" sz="1100" baseline="0"/>
              <a:t>-PROFIT BY YEARS</a:t>
            </a:r>
            <a:endParaRPr lang="en-GB"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87232913794452"/>
          <c:y val="0.20863684174309671"/>
          <c:w val="0.43064345543150384"/>
          <c:h val="0.6316737935847907"/>
        </c:manualLayout>
      </c:layout>
      <c:barChart>
        <c:barDir val="col"/>
        <c:grouping val="stacked"/>
        <c:varyColors val="0"/>
        <c:ser>
          <c:idx val="0"/>
          <c:order val="0"/>
          <c:tx>
            <c:strRef>
              <c:f>Pivot!$F$3</c:f>
              <c:strCache>
                <c:ptCount val="1"/>
                <c:pt idx="0">
                  <c:v>Sum of Total Revenue (£)</c:v>
                </c:pt>
              </c:strCache>
            </c:strRef>
          </c:tx>
          <c:spPr>
            <a:solidFill>
              <a:schemeClr val="accent1"/>
            </a:solidFill>
            <a:ln>
              <a:noFill/>
            </a:ln>
            <a:effectLst/>
          </c:spPr>
          <c:invertIfNegative val="0"/>
          <c:cat>
            <c:strRef>
              <c:f>Pivot!$E$4:$E$12</c:f>
              <c:strCache>
                <c:ptCount val="8"/>
                <c:pt idx="0">
                  <c:v>2010</c:v>
                </c:pt>
                <c:pt idx="1">
                  <c:v>2011</c:v>
                </c:pt>
                <c:pt idx="2">
                  <c:v>2012</c:v>
                </c:pt>
                <c:pt idx="3">
                  <c:v>2013</c:v>
                </c:pt>
                <c:pt idx="4">
                  <c:v>2014</c:v>
                </c:pt>
                <c:pt idx="5">
                  <c:v>2015</c:v>
                </c:pt>
                <c:pt idx="6">
                  <c:v>2016</c:v>
                </c:pt>
                <c:pt idx="7">
                  <c:v>2017</c:v>
                </c:pt>
              </c:strCache>
            </c:strRef>
          </c:cat>
          <c:val>
            <c:numRef>
              <c:f>Pivot!$F$4:$F$12</c:f>
              <c:numCache>
                <c:formatCode>_(* #,##0.00_);_(* \(#,##0.00\);_(* "-"??_);_(@_)</c:formatCode>
                <c:ptCount val="8"/>
                <c:pt idx="0">
                  <c:v>19186024.920000002</c:v>
                </c:pt>
                <c:pt idx="1">
                  <c:v>11129166.07</c:v>
                </c:pt>
                <c:pt idx="2">
                  <c:v>31898644.52</c:v>
                </c:pt>
                <c:pt idx="3">
                  <c:v>20330448.66</c:v>
                </c:pt>
                <c:pt idx="4">
                  <c:v>16630214.430000002</c:v>
                </c:pt>
                <c:pt idx="5">
                  <c:v>12427982.860000001</c:v>
                </c:pt>
                <c:pt idx="6">
                  <c:v>12372867.219999999</c:v>
                </c:pt>
                <c:pt idx="7">
                  <c:v>13373419.629999999</c:v>
                </c:pt>
              </c:numCache>
            </c:numRef>
          </c:val>
          <c:extLst>
            <c:ext xmlns:c16="http://schemas.microsoft.com/office/drawing/2014/chart" uri="{C3380CC4-5D6E-409C-BE32-E72D297353CC}">
              <c16:uniqueId val="{00000000-3159-4288-8BA1-1C6FC42F4901}"/>
            </c:ext>
          </c:extLst>
        </c:ser>
        <c:ser>
          <c:idx val="1"/>
          <c:order val="1"/>
          <c:tx>
            <c:strRef>
              <c:f>Pivot!$G$3</c:f>
              <c:strCache>
                <c:ptCount val="1"/>
                <c:pt idx="0">
                  <c:v>Sum of Total Profit (£)</c:v>
                </c:pt>
              </c:strCache>
            </c:strRef>
          </c:tx>
          <c:spPr>
            <a:solidFill>
              <a:schemeClr val="accent2"/>
            </a:solidFill>
            <a:ln>
              <a:noFill/>
            </a:ln>
            <a:effectLst/>
          </c:spPr>
          <c:invertIfNegative val="0"/>
          <c:cat>
            <c:strRef>
              <c:f>Pivot!$E$4:$E$12</c:f>
              <c:strCache>
                <c:ptCount val="8"/>
                <c:pt idx="0">
                  <c:v>2010</c:v>
                </c:pt>
                <c:pt idx="1">
                  <c:v>2011</c:v>
                </c:pt>
                <c:pt idx="2">
                  <c:v>2012</c:v>
                </c:pt>
                <c:pt idx="3">
                  <c:v>2013</c:v>
                </c:pt>
                <c:pt idx="4">
                  <c:v>2014</c:v>
                </c:pt>
                <c:pt idx="5">
                  <c:v>2015</c:v>
                </c:pt>
                <c:pt idx="6">
                  <c:v>2016</c:v>
                </c:pt>
                <c:pt idx="7">
                  <c:v>2017</c:v>
                </c:pt>
              </c:strCache>
            </c:strRef>
          </c:cat>
          <c:val>
            <c:numRef>
              <c:f>Pivot!$G$4:$G$12</c:f>
              <c:numCache>
                <c:formatCode>_(* #,##0.00_);_(* \(#,##0.00\);_(* "-"??_);_(@_)</c:formatCode>
                <c:ptCount val="8"/>
                <c:pt idx="0">
                  <c:v>6629567.4299999997</c:v>
                </c:pt>
                <c:pt idx="1">
                  <c:v>2741008.2300000004</c:v>
                </c:pt>
                <c:pt idx="2">
                  <c:v>9213010.120000001</c:v>
                </c:pt>
                <c:pt idx="3">
                  <c:v>6715420.0399999991</c:v>
                </c:pt>
                <c:pt idx="4">
                  <c:v>5879461.6799999997</c:v>
                </c:pt>
                <c:pt idx="5">
                  <c:v>3996539.4400000004</c:v>
                </c:pt>
                <c:pt idx="6">
                  <c:v>4903838.01</c:v>
                </c:pt>
                <c:pt idx="7">
                  <c:v>4089353.45</c:v>
                </c:pt>
              </c:numCache>
            </c:numRef>
          </c:val>
          <c:extLst>
            <c:ext xmlns:c16="http://schemas.microsoft.com/office/drawing/2014/chart" uri="{C3380CC4-5D6E-409C-BE32-E72D297353CC}">
              <c16:uniqueId val="{00000001-3159-4288-8BA1-1C6FC42F4901}"/>
            </c:ext>
          </c:extLst>
        </c:ser>
        <c:dLbls>
          <c:showLegendKey val="0"/>
          <c:showVal val="0"/>
          <c:showCatName val="0"/>
          <c:showSerName val="0"/>
          <c:showPercent val="0"/>
          <c:showBubbleSize val="0"/>
        </c:dLbls>
        <c:gapWidth val="150"/>
        <c:overlap val="100"/>
        <c:axId val="1179208880"/>
        <c:axId val="1179209360"/>
      </c:barChart>
      <c:catAx>
        <c:axId val="117920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09360"/>
        <c:crosses val="autoZero"/>
        <c:auto val="1"/>
        <c:lblAlgn val="ctr"/>
        <c:lblOffset val="100"/>
        <c:noMultiLvlLbl val="0"/>
      </c:catAx>
      <c:valAx>
        <c:axId val="117920936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[Sylip_Sales_Analysis.xlsx]Pivot!PivotTable28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t>REVENUE</a:t>
            </a:r>
            <a:r>
              <a:rPr lang="en-GB" sz="1100" baseline="0"/>
              <a:t>-GROSS MARGIN BY PRODUCTS</a:t>
            </a:r>
            <a:endParaRPr lang="en-GB"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31539902750497"/>
          <c:y val="0.23134220801117408"/>
          <c:w val="0.5052912838961453"/>
          <c:h val="0.39351978487151001"/>
        </c:manualLayout>
      </c:layout>
      <c:barChart>
        <c:barDir val="col"/>
        <c:grouping val="stacked"/>
        <c:varyColors val="0"/>
        <c:ser>
          <c:idx val="0"/>
          <c:order val="0"/>
          <c:tx>
            <c:strRef>
              <c:f>Pivot!$J$3</c:f>
              <c:strCache>
                <c:ptCount val="1"/>
                <c:pt idx="0">
                  <c:v>Sum of Total Revenue (£)</c:v>
                </c:pt>
              </c:strCache>
            </c:strRef>
          </c:tx>
          <c:spPr>
            <a:solidFill>
              <a:schemeClr val="accent1"/>
            </a:solidFill>
            <a:ln>
              <a:noFill/>
            </a:ln>
            <a:effectLst/>
          </c:spPr>
          <c:invertIfNegative val="0"/>
          <c:cat>
            <c:strRef>
              <c:f>Pivot!$I$4:$I$16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Pivot!$J$4:$J$16</c:f>
              <c:numCache>
                <c:formatCode>_(* #,##0.00_);_(* \(#,##0.00\);_(* "-"??_);_(@_)</c:formatCode>
                <c:ptCount val="12"/>
                <c:pt idx="0">
                  <c:v>10350327.6</c:v>
                </c:pt>
                <c:pt idx="1">
                  <c:v>2690794.6</c:v>
                </c:pt>
                <c:pt idx="2">
                  <c:v>5322898.9000000004</c:v>
                </c:pt>
                <c:pt idx="3">
                  <c:v>7787292.799999998</c:v>
                </c:pt>
                <c:pt idx="4">
                  <c:v>36601509.600000001</c:v>
                </c:pt>
                <c:pt idx="5">
                  <c:v>466481.34</c:v>
                </c:pt>
                <c:pt idx="6">
                  <c:v>29889712.289999995</c:v>
                </c:pt>
                <c:pt idx="7">
                  <c:v>4503675.75</c:v>
                </c:pt>
                <c:pt idx="8">
                  <c:v>30585380.07</c:v>
                </c:pt>
                <c:pt idx="9">
                  <c:v>3980904.8400000003</c:v>
                </c:pt>
                <c:pt idx="10">
                  <c:v>2080733.46</c:v>
                </c:pt>
                <c:pt idx="11">
                  <c:v>3089057.06</c:v>
                </c:pt>
              </c:numCache>
            </c:numRef>
          </c:val>
          <c:extLst>
            <c:ext xmlns:c16="http://schemas.microsoft.com/office/drawing/2014/chart" uri="{C3380CC4-5D6E-409C-BE32-E72D297353CC}">
              <c16:uniqueId val="{00000000-51C7-4E7F-BAB5-645EA052DD13}"/>
            </c:ext>
          </c:extLst>
        </c:ser>
        <c:ser>
          <c:idx val="1"/>
          <c:order val="1"/>
          <c:tx>
            <c:strRef>
              <c:f>Pivot!$K$3</c:f>
              <c:strCache>
                <c:ptCount val="1"/>
                <c:pt idx="0">
                  <c:v>Sum of Total Profit (£)</c:v>
                </c:pt>
              </c:strCache>
            </c:strRef>
          </c:tx>
          <c:spPr>
            <a:solidFill>
              <a:schemeClr val="accent2"/>
            </a:solidFill>
            <a:ln>
              <a:noFill/>
            </a:ln>
            <a:effectLst/>
          </c:spPr>
          <c:invertIfNegative val="0"/>
          <c:cat>
            <c:strRef>
              <c:f>Pivot!$I$4:$I$16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Pivot!$K$4:$K$16</c:f>
              <c:numCache>
                <c:formatCode>_(* #,##0.00_);_(* \(#,##0.00\);_(* "-"??_);_(@_)</c:formatCode>
                <c:ptCount val="12"/>
                <c:pt idx="0">
                  <c:v>3886643.7</c:v>
                </c:pt>
                <c:pt idx="1">
                  <c:v>888047.27999999991</c:v>
                </c:pt>
                <c:pt idx="2">
                  <c:v>2292443.4299999997</c:v>
                </c:pt>
                <c:pt idx="3">
                  <c:v>5233334.4000000004</c:v>
                </c:pt>
                <c:pt idx="4">
                  <c:v>14556048.66</c:v>
                </c:pt>
                <c:pt idx="5">
                  <c:v>120495.18</c:v>
                </c:pt>
                <c:pt idx="6">
                  <c:v>7412605.7100000009</c:v>
                </c:pt>
                <c:pt idx="7">
                  <c:v>610610</c:v>
                </c:pt>
                <c:pt idx="8">
                  <c:v>5929583.75</c:v>
                </c:pt>
                <c:pt idx="9">
                  <c:v>1220622.48</c:v>
                </c:pt>
                <c:pt idx="10">
                  <c:v>751944.18</c:v>
                </c:pt>
                <c:pt idx="11">
                  <c:v>1265819.6300000001</c:v>
                </c:pt>
              </c:numCache>
            </c:numRef>
          </c:val>
          <c:extLst>
            <c:ext xmlns:c16="http://schemas.microsoft.com/office/drawing/2014/chart" uri="{C3380CC4-5D6E-409C-BE32-E72D297353CC}">
              <c16:uniqueId val="{00000001-51C7-4E7F-BAB5-645EA052DD13}"/>
            </c:ext>
          </c:extLst>
        </c:ser>
        <c:dLbls>
          <c:showLegendKey val="0"/>
          <c:showVal val="0"/>
          <c:showCatName val="0"/>
          <c:showSerName val="0"/>
          <c:showPercent val="0"/>
          <c:showBubbleSize val="0"/>
        </c:dLbls>
        <c:gapWidth val="150"/>
        <c:overlap val="100"/>
        <c:axId val="1321659680"/>
        <c:axId val="1321660640"/>
      </c:barChart>
      <c:catAx>
        <c:axId val="132165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660640"/>
        <c:crosses val="autoZero"/>
        <c:auto val="1"/>
        <c:lblAlgn val="ctr"/>
        <c:lblOffset val="100"/>
        <c:noMultiLvlLbl val="0"/>
      </c:catAx>
      <c:valAx>
        <c:axId val="132166064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659680"/>
        <c:crosses val="autoZero"/>
        <c:crossBetween val="between"/>
      </c:valAx>
      <c:spPr>
        <a:noFill/>
        <a:ln>
          <a:noFill/>
        </a:ln>
        <a:effectLst/>
      </c:spPr>
    </c:plotArea>
    <c:legend>
      <c:legendPos val="r"/>
      <c:layout>
        <c:manualLayout>
          <c:xMode val="edge"/>
          <c:yMode val="edge"/>
          <c:x val="0.74219465313575506"/>
          <c:y val="0.3438070964329546"/>
          <c:w val="0.23892339154608766"/>
          <c:h val="0.396862424235162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t>REVENUE-PROFIT</a:t>
            </a:r>
            <a:r>
              <a:rPr lang="en-GB" sz="1100" baseline="0"/>
              <a:t> RATIOS BY PRODUCTS</a:t>
            </a:r>
            <a:endParaRPr lang="en-GB"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Pivot!$Y$3</c:f>
              <c:strCache>
                <c:ptCount val="1"/>
                <c:pt idx="0">
                  <c:v>Revenue %</c:v>
                </c:pt>
              </c:strCache>
            </c:strRef>
          </c:tx>
          <c:spPr>
            <a:solidFill>
              <a:schemeClr val="accent1"/>
            </a:solidFill>
            <a:ln>
              <a:noFill/>
            </a:ln>
            <a:effectLst/>
          </c:spPr>
          <c:invertIfNegative val="0"/>
          <c:cat>
            <c:strRef>
              <c:f>Pivot!$X$4:$X$11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Pivot!$Y$4:$Y$11</c:f>
              <c:numCache>
                <c:formatCode>0.00%</c:formatCode>
                <c:ptCount val="7"/>
                <c:pt idx="0">
                  <c:v>0.15542251512455521</c:v>
                </c:pt>
                <c:pt idx="1">
                  <c:v>0.10261661100730698</c:v>
                </c:pt>
                <c:pt idx="2">
                  <c:v>6.6767147625977866E-2</c:v>
                </c:pt>
                <c:pt idx="3">
                  <c:v>0.24295035565725198</c:v>
                </c:pt>
                <c:pt idx="4">
                  <c:v>0.10231403421312558</c:v>
                </c:pt>
                <c:pt idx="5">
                  <c:v>4.1087784182110662E-2</c:v>
                </c:pt>
                <c:pt idx="6">
                  <c:v>0.28884155218967184</c:v>
                </c:pt>
              </c:numCache>
            </c:numRef>
          </c:val>
          <c:extLst>
            <c:ext xmlns:c16="http://schemas.microsoft.com/office/drawing/2014/chart" uri="{C3380CC4-5D6E-409C-BE32-E72D297353CC}">
              <c16:uniqueId val="{00000000-F650-4D2E-A257-0D45C3C635B9}"/>
            </c:ext>
          </c:extLst>
        </c:ser>
        <c:ser>
          <c:idx val="1"/>
          <c:order val="1"/>
          <c:tx>
            <c:strRef>
              <c:f>Pivot!$Z$3</c:f>
              <c:strCache>
                <c:ptCount val="1"/>
                <c:pt idx="0">
                  <c:v>Profit %</c:v>
                </c:pt>
              </c:strCache>
            </c:strRef>
          </c:tx>
          <c:spPr>
            <a:solidFill>
              <a:schemeClr val="accent2"/>
            </a:solidFill>
            <a:ln>
              <a:noFill/>
            </a:ln>
            <a:effectLst/>
          </c:spPr>
          <c:invertIfNegative val="0"/>
          <c:cat>
            <c:strRef>
              <c:f>Pivot!$X$4:$X$11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Pivot!$Z$4:$Z$11</c:f>
              <c:numCache>
                <c:formatCode>0.00%</c:formatCode>
                <c:ptCount val="7"/>
                <c:pt idx="0">
                  <c:v>0.13842189836749147</c:v>
                </c:pt>
                <c:pt idx="1">
                  <c:v>0.10691312304012834</c:v>
                </c:pt>
                <c:pt idx="2">
                  <c:v>6.4456055558743369E-2</c:v>
                </c:pt>
                <c:pt idx="3">
                  <c:v>0.2509257572525303</c:v>
                </c:pt>
                <c:pt idx="4">
                  <c:v>0.13043755617616495</c:v>
                </c:pt>
                <c:pt idx="5">
                  <c:v>3.3008879981846845E-2</c:v>
                </c:pt>
                <c:pt idx="6">
                  <c:v>0.27583672962309469</c:v>
                </c:pt>
              </c:numCache>
            </c:numRef>
          </c:val>
          <c:extLst>
            <c:ext xmlns:c16="http://schemas.microsoft.com/office/drawing/2014/chart" uri="{C3380CC4-5D6E-409C-BE32-E72D297353CC}">
              <c16:uniqueId val="{00000001-F650-4D2E-A257-0D45C3C635B9}"/>
            </c:ext>
          </c:extLst>
        </c:ser>
        <c:dLbls>
          <c:showLegendKey val="0"/>
          <c:showVal val="0"/>
          <c:showCatName val="0"/>
          <c:showSerName val="0"/>
          <c:showPercent val="0"/>
          <c:showBubbleSize val="0"/>
        </c:dLbls>
        <c:gapWidth val="219"/>
        <c:overlap val="-27"/>
        <c:axId val="1373685952"/>
        <c:axId val="1373686432"/>
      </c:barChart>
      <c:catAx>
        <c:axId val="137368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86432"/>
        <c:crosses val="autoZero"/>
        <c:auto val="1"/>
        <c:lblAlgn val="ctr"/>
        <c:lblOffset val="100"/>
        <c:noMultiLvlLbl val="0"/>
      </c:catAx>
      <c:valAx>
        <c:axId val="1373686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8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t>REVENUE-PROFIT</a:t>
            </a:r>
            <a:r>
              <a:rPr lang="en-GB" sz="1100" baseline="0"/>
              <a:t> RATIOS BY YEARS</a:t>
            </a:r>
            <a:endParaRPr lang="en-GB"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Pivot!$AC$3</c:f>
              <c:strCache>
                <c:ptCount val="1"/>
                <c:pt idx="0">
                  <c:v>Revenue %</c:v>
                </c:pt>
              </c:strCache>
            </c:strRef>
          </c:tx>
          <c:spPr>
            <a:solidFill>
              <a:schemeClr val="accent1"/>
            </a:solidFill>
            <a:ln>
              <a:noFill/>
            </a:ln>
            <a:effectLst/>
            <a:sp3d/>
          </c:spPr>
          <c:invertIfNegative val="0"/>
          <c:cat>
            <c:strRef>
              <c:f>Pivot!$AB$4:$AB$12</c:f>
              <c:strCache>
                <c:ptCount val="8"/>
                <c:pt idx="0">
                  <c:v>2010</c:v>
                </c:pt>
                <c:pt idx="1">
                  <c:v>2011</c:v>
                </c:pt>
                <c:pt idx="2">
                  <c:v>2012</c:v>
                </c:pt>
                <c:pt idx="3">
                  <c:v>2013</c:v>
                </c:pt>
                <c:pt idx="4">
                  <c:v>2014</c:v>
                </c:pt>
                <c:pt idx="5">
                  <c:v>2015</c:v>
                </c:pt>
                <c:pt idx="6">
                  <c:v>2016</c:v>
                </c:pt>
                <c:pt idx="7">
                  <c:v>2017</c:v>
                </c:pt>
              </c:strCache>
            </c:strRef>
          </c:cat>
          <c:val>
            <c:numRef>
              <c:f>Pivot!$AC$4:$AC$12</c:f>
              <c:numCache>
                <c:formatCode>0.00%</c:formatCode>
                <c:ptCount val="8"/>
                <c:pt idx="0">
                  <c:v>0.13968836529131887</c:v>
                </c:pt>
                <c:pt idx="1">
                  <c:v>8.1028510171137186E-2</c:v>
                </c:pt>
                <c:pt idx="2">
                  <c:v>0.23224558117626412</c:v>
                </c:pt>
                <c:pt idx="3">
                  <c:v>0.14802061139793848</c:v>
                </c:pt>
                <c:pt idx="4">
                  <c:v>0.12108018611761515</c:v>
                </c:pt>
                <c:pt idx="5">
                  <c:v>9.0484851177912981E-2</c:v>
                </c:pt>
                <c:pt idx="6">
                  <c:v>9.008356880255447E-2</c:v>
                </c:pt>
                <c:pt idx="7">
                  <c:v>9.7368325865258704E-2</c:v>
                </c:pt>
              </c:numCache>
            </c:numRef>
          </c:val>
          <c:extLst>
            <c:ext xmlns:c16="http://schemas.microsoft.com/office/drawing/2014/chart" uri="{C3380CC4-5D6E-409C-BE32-E72D297353CC}">
              <c16:uniqueId val="{00000000-EE9E-448F-B4B7-7A59435374EA}"/>
            </c:ext>
          </c:extLst>
        </c:ser>
        <c:ser>
          <c:idx val="1"/>
          <c:order val="1"/>
          <c:tx>
            <c:strRef>
              <c:f>Pivot!$AD$3</c:f>
              <c:strCache>
                <c:ptCount val="1"/>
                <c:pt idx="0">
                  <c:v>Profit %</c:v>
                </c:pt>
              </c:strCache>
            </c:strRef>
          </c:tx>
          <c:spPr>
            <a:solidFill>
              <a:schemeClr val="accent2"/>
            </a:solidFill>
            <a:ln>
              <a:noFill/>
            </a:ln>
            <a:effectLst/>
            <a:sp3d/>
          </c:spPr>
          <c:invertIfNegative val="0"/>
          <c:cat>
            <c:strRef>
              <c:f>Pivot!$AB$4:$AB$12</c:f>
              <c:strCache>
                <c:ptCount val="8"/>
                <c:pt idx="0">
                  <c:v>2010</c:v>
                </c:pt>
                <c:pt idx="1">
                  <c:v>2011</c:v>
                </c:pt>
                <c:pt idx="2">
                  <c:v>2012</c:v>
                </c:pt>
                <c:pt idx="3">
                  <c:v>2013</c:v>
                </c:pt>
                <c:pt idx="4">
                  <c:v>2014</c:v>
                </c:pt>
                <c:pt idx="5">
                  <c:v>2015</c:v>
                </c:pt>
                <c:pt idx="6">
                  <c:v>2016</c:v>
                </c:pt>
                <c:pt idx="7">
                  <c:v>2017</c:v>
                </c:pt>
              </c:strCache>
            </c:strRef>
          </c:cat>
          <c:val>
            <c:numRef>
              <c:f>Pivot!$AD$4:$AD$12</c:f>
              <c:numCache>
                <c:formatCode>0.00%</c:formatCode>
                <c:ptCount val="8"/>
                <c:pt idx="0">
                  <c:v>0.15009820799029919</c:v>
                </c:pt>
                <c:pt idx="1">
                  <c:v>6.2058411465567058E-2</c:v>
                </c:pt>
                <c:pt idx="2">
                  <c:v>0.20858922151554185</c:v>
                </c:pt>
                <c:pt idx="3">
                  <c:v>0.15204197325829796</c:v>
                </c:pt>
                <c:pt idx="4">
                  <c:v>0.13311527055629238</c:v>
                </c:pt>
                <c:pt idx="5">
                  <c:v>9.0484547361569551E-2</c:v>
                </c:pt>
                <c:pt idx="6">
                  <c:v>0.11102644408516332</c:v>
                </c:pt>
                <c:pt idx="7">
                  <c:v>9.2585923767268721E-2</c:v>
                </c:pt>
              </c:numCache>
            </c:numRef>
          </c:val>
          <c:extLst>
            <c:ext xmlns:c16="http://schemas.microsoft.com/office/drawing/2014/chart" uri="{C3380CC4-5D6E-409C-BE32-E72D297353CC}">
              <c16:uniqueId val="{00000001-EE9E-448F-B4B7-7A59435374EA}"/>
            </c:ext>
          </c:extLst>
        </c:ser>
        <c:dLbls>
          <c:showLegendKey val="0"/>
          <c:showVal val="0"/>
          <c:showCatName val="0"/>
          <c:showSerName val="0"/>
          <c:showPercent val="0"/>
          <c:showBubbleSize val="0"/>
        </c:dLbls>
        <c:gapWidth val="150"/>
        <c:shape val="box"/>
        <c:axId val="1302082000"/>
        <c:axId val="1302091120"/>
        <c:axId val="0"/>
      </c:bar3DChart>
      <c:catAx>
        <c:axId val="1302082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091120"/>
        <c:crosses val="autoZero"/>
        <c:auto val="1"/>
        <c:lblAlgn val="ctr"/>
        <c:lblOffset val="100"/>
        <c:noMultiLvlLbl val="0"/>
      </c:catAx>
      <c:valAx>
        <c:axId val="1302091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0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t>REVENUE</a:t>
            </a:r>
            <a:r>
              <a:rPr lang="en-GB" sz="1100" baseline="0"/>
              <a:t>-PROFIT BY PRODUCTS</a:t>
            </a:r>
            <a:endParaRPr lang="en-GB"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Pivot!$AG$3</c:f>
              <c:strCache>
                <c:ptCount val="1"/>
                <c:pt idx="0">
                  <c:v>Revenue %</c:v>
                </c:pt>
              </c:strCache>
            </c:strRef>
          </c:tx>
          <c:spPr>
            <a:solidFill>
              <a:schemeClr val="accent1"/>
            </a:solidFill>
            <a:ln>
              <a:noFill/>
            </a:ln>
            <a:effectLst/>
            <a:sp3d/>
          </c:spPr>
          <c:invertIfNegative val="0"/>
          <c:cat>
            <c:strRef>
              <c:f>Pivot!$AF$4:$AF$16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Pivot!$AG$4:$AG$16</c:f>
              <c:numCache>
                <c:formatCode>0.00%</c:formatCode>
                <c:ptCount val="12"/>
                <c:pt idx="0">
                  <c:v>7.5357993576171151E-2</c:v>
                </c:pt>
                <c:pt idx="1">
                  <c:v>1.9590962722918649E-2</c:v>
                </c:pt>
                <c:pt idx="2">
                  <c:v>3.8754616917903981E-2</c:v>
                </c:pt>
                <c:pt idx="3">
                  <c:v>5.6697216114991733E-2</c:v>
                </c:pt>
                <c:pt idx="4">
                  <c:v>0.26648589609037754</c:v>
                </c:pt>
                <c:pt idx="5">
                  <c:v>3.3963270711473629E-3</c:v>
                </c:pt>
                <c:pt idx="6">
                  <c:v>0.21761907775203401</c:v>
                </c:pt>
                <c:pt idx="7">
                  <c:v>3.2790070165282285E-2</c:v>
                </c:pt>
                <c:pt idx="8">
                  <c:v>0.2226840505840427</c:v>
                </c:pt>
                <c:pt idx="9">
                  <c:v>2.8983913645406614E-2</c:v>
                </c:pt>
                <c:pt idx="10">
                  <c:v>1.5149269160563032E-2</c:v>
                </c:pt>
                <c:pt idx="11">
                  <c:v>2.2490606199160899E-2</c:v>
                </c:pt>
              </c:numCache>
            </c:numRef>
          </c:val>
          <c:extLst>
            <c:ext xmlns:c16="http://schemas.microsoft.com/office/drawing/2014/chart" uri="{C3380CC4-5D6E-409C-BE32-E72D297353CC}">
              <c16:uniqueId val="{00000000-2692-4FBF-9C9A-7D924494DEF7}"/>
            </c:ext>
          </c:extLst>
        </c:ser>
        <c:ser>
          <c:idx val="1"/>
          <c:order val="1"/>
          <c:tx>
            <c:strRef>
              <c:f>Pivot!$AH$3</c:f>
              <c:strCache>
                <c:ptCount val="1"/>
                <c:pt idx="0">
                  <c:v>Profit %</c:v>
                </c:pt>
              </c:strCache>
            </c:strRef>
          </c:tx>
          <c:spPr>
            <a:solidFill>
              <a:schemeClr val="accent2"/>
            </a:solidFill>
            <a:ln>
              <a:noFill/>
            </a:ln>
            <a:effectLst/>
            <a:sp3d/>
          </c:spPr>
          <c:invertIfNegative val="0"/>
          <c:cat>
            <c:strRef>
              <c:f>Pivot!$AF$4:$AF$16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Pivot!$AH$4:$AH$16</c:f>
              <c:numCache>
                <c:formatCode>0.00%</c:formatCode>
                <c:ptCount val="12"/>
                <c:pt idx="0">
                  <c:v>8.7996428217457026E-2</c:v>
                </c:pt>
                <c:pt idx="1">
                  <c:v>2.0106033575505763E-2</c:v>
                </c:pt>
                <c:pt idx="2">
                  <c:v>5.1902579526540066E-2</c:v>
                </c:pt>
                <c:pt idx="3">
                  <c:v>0.11848648098809483</c:v>
                </c:pt>
                <c:pt idx="4">
                  <c:v>0.32955948368498544</c:v>
                </c:pt>
                <c:pt idx="5">
                  <c:v>2.7280981422144672E-3</c:v>
                </c:pt>
                <c:pt idx="6">
                  <c:v>0.16782676175444822</c:v>
                </c:pt>
                <c:pt idx="7">
                  <c:v>1.3824652626084925E-2</c:v>
                </c:pt>
                <c:pt idx="8">
                  <c:v>0.13425007052132787</c:v>
                </c:pt>
                <c:pt idx="9">
                  <c:v>2.7635776966624021E-2</c:v>
                </c:pt>
                <c:pt idx="10">
                  <c:v>1.7024560820665034E-2</c:v>
                </c:pt>
                <c:pt idx="11">
                  <c:v>2.8659073176052392E-2</c:v>
                </c:pt>
              </c:numCache>
            </c:numRef>
          </c:val>
          <c:extLst>
            <c:ext xmlns:c16="http://schemas.microsoft.com/office/drawing/2014/chart" uri="{C3380CC4-5D6E-409C-BE32-E72D297353CC}">
              <c16:uniqueId val="{00000001-2692-4FBF-9C9A-7D924494DEF7}"/>
            </c:ext>
          </c:extLst>
        </c:ser>
        <c:dLbls>
          <c:showLegendKey val="0"/>
          <c:showVal val="0"/>
          <c:showCatName val="0"/>
          <c:showSerName val="0"/>
          <c:showPercent val="0"/>
          <c:showBubbleSize val="0"/>
        </c:dLbls>
        <c:gapWidth val="150"/>
        <c:shape val="box"/>
        <c:axId val="1266902880"/>
        <c:axId val="1266883680"/>
        <c:axId val="0"/>
      </c:bar3DChart>
      <c:catAx>
        <c:axId val="1266902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83680"/>
        <c:crosses val="autoZero"/>
        <c:auto val="1"/>
        <c:lblAlgn val="ctr"/>
        <c:lblOffset val="100"/>
        <c:noMultiLvlLbl val="0"/>
      </c:catAx>
      <c:valAx>
        <c:axId val="1266883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0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[Sylip_Sales_Analysis.xlsx]Pivot!PivotTable35</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GB" sz="1100"/>
              <a:t>AVE</a:t>
            </a:r>
            <a:r>
              <a:rPr lang="en-GB" sz="1100" baseline="0"/>
              <a:t> REVENUE &amp; PROFIT BY YEARS</a:t>
            </a:r>
            <a:endParaRPr lang="en-GB"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06680143679681"/>
          <c:y val="0.2572178477690289"/>
          <c:w val="0.43326628486430752"/>
          <c:h val="0.61371536891221934"/>
        </c:manualLayout>
      </c:layout>
      <c:bar3DChart>
        <c:barDir val="col"/>
        <c:grouping val="clustered"/>
        <c:varyColors val="0"/>
        <c:ser>
          <c:idx val="0"/>
          <c:order val="0"/>
          <c:tx>
            <c:strRef>
              <c:f>Pivot!$AK$3</c:f>
              <c:strCache>
                <c:ptCount val="1"/>
                <c:pt idx="0">
                  <c:v>Average of Total Revenue (£)</c:v>
                </c:pt>
              </c:strCache>
            </c:strRef>
          </c:tx>
          <c:spPr>
            <a:solidFill>
              <a:schemeClr val="accent1"/>
            </a:solidFill>
            <a:ln>
              <a:noFill/>
            </a:ln>
            <a:effectLst/>
            <a:sp3d/>
          </c:spPr>
          <c:invertIfNegative val="0"/>
          <c:cat>
            <c:strRef>
              <c:f>Pivot!$AJ$4:$AJ$12</c:f>
              <c:strCache>
                <c:ptCount val="8"/>
                <c:pt idx="0">
                  <c:v>2010</c:v>
                </c:pt>
                <c:pt idx="1">
                  <c:v>2011</c:v>
                </c:pt>
                <c:pt idx="2">
                  <c:v>2012</c:v>
                </c:pt>
                <c:pt idx="3">
                  <c:v>2013</c:v>
                </c:pt>
                <c:pt idx="4">
                  <c:v>2014</c:v>
                </c:pt>
                <c:pt idx="5">
                  <c:v>2015</c:v>
                </c:pt>
                <c:pt idx="6">
                  <c:v>2016</c:v>
                </c:pt>
                <c:pt idx="7">
                  <c:v>2017</c:v>
                </c:pt>
              </c:strCache>
            </c:strRef>
          </c:cat>
          <c:val>
            <c:numRef>
              <c:f>Pivot!$AK$4:$AK$12</c:f>
              <c:numCache>
                <c:formatCode>_(* #,##0.00_);_(* \(#,##0.00\);_(* "-"??_);_(@_)</c:formatCode>
                <c:ptCount val="8"/>
                <c:pt idx="0">
                  <c:v>1918602.4920000001</c:v>
                </c:pt>
                <c:pt idx="1">
                  <c:v>927430.50583333336</c:v>
                </c:pt>
                <c:pt idx="2">
                  <c:v>1449938.3872727272</c:v>
                </c:pt>
                <c:pt idx="3">
                  <c:v>1694204.0549999999</c:v>
                </c:pt>
                <c:pt idx="4">
                  <c:v>1108680.9620000001</c:v>
                </c:pt>
                <c:pt idx="5">
                  <c:v>1129816.6236363638</c:v>
                </c:pt>
                <c:pt idx="6">
                  <c:v>1237286.7219999998</c:v>
                </c:pt>
                <c:pt idx="7">
                  <c:v>1671677.4537499999</c:v>
                </c:pt>
              </c:numCache>
            </c:numRef>
          </c:val>
          <c:extLst>
            <c:ext xmlns:c16="http://schemas.microsoft.com/office/drawing/2014/chart" uri="{C3380CC4-5D6E-409C-BE32-E72D297353CC}">
              <c16:uniqueId val="{00000000-5FDC-4993-827D-7B1CB9AE3B34}"/>
            </c:ext>
          </c:extLst>
        </c:ser>
        <c:ser>
          <c:idx val="1"/>
          <c:order val="1"/>
          <c:tx>
            <c:strRef>
              <c:f>Pivot!$AL$3</c:f>
              <c:strCache>
                <c:ptCount val="1"/>
                <c:pt idx="0">
                  <c:v>Average of Total Profit (£)</c:v>
                </c:pt>
              </c:strCache>
            </c:strRef>
          </c:tx>
          <c:spPr>
            <a:solidFill>
              <a:schemeClr val="accent2"/>
            </a:solidFill>
            <a:ln>
              <a:noFill/>
            </a:ln>
            <a:effectLst/>
            <a:sp3d/>
          </c:spPr>
          <c:invertIfNegative val="0"/>
          <c:cat>
            <c:strRef>
              <c:f>Pivot!$AJ$4:$AJ$12</c:f>
              <c:strCache>
                <c:ptCount val="8"/>
                <c:pt idx="0">
                  <c:v>2010</c:v>
                </c:pt>
                <c:pt idx="1">
                  <c:v>2011</c:v>
                </c:pt>
                <c:pt idx="2">
                  <c:v>2012</c:v>
                </c:pt>
                <c:pt idx="3">
                  <c:v>2013</c:v>
                </c:pt>
                <c:pt idx="4">
                  <c:v>2014</c:v>
                </c:pt>
                <c:pt idx="5">
                  <c:v>2015</c:v>
                </c:pt>
                <c:pt idx="6">
                  <c:v>2016</c:v>
                </c:pt>
                <c:pt idx="7">
                  <c:v>2017</c:v>
                </c:pt>
              </c:strCache>
            </c:strRef>
          </c:cat>
          <c:val>
            <c:numRef>
              <c:f>Pivot!$AL$4:$AL$12</c:f>
              <c:numCache>
                <c:formatCode>_(* #,##0.00_);_(* \(#,##0.00\);_(* "-"??_);_(@_)</c:formatCode>
                <c:ptCount val="8"/>
                <c:pt idx="0">
                  <c:v>662956.74300000002</c:v>
                </c:pt>
                <c:pt idx="1">
                  <c:v>228417.35250000004</c:v>
                </c:pt>
                <c:pt idx="2">
                  <c:v>418773.18727272731</c:v>
                </c:pt>
                <c:pt idx="3">
                  <c:v>559618.33666666655</c:v>
                </c:pt>
                <c:pt idx="4">
                  <c:v>391964.11199999996</c:v>
                </c:pt>
                <c:pt idx="5">
                  <c:v>363321.76727272733</c:v>
                </c:pt>
                <c:pt idx="6">
                  <c:v>490383.80099999998</c:v>
                </c:pt>
                <c:pt idx="7">
                  <c:v>511169.18125000002</c:v>
                </c:pt>
              </c:numCache>
            </c:numRef>
          </c:val>
          <c:extLst>
            <c:ext xmlns:c16="http://schemas.microsoft.com/office/drawing/2014/chart" uri="{C3380CC4-5D6E-409C-BE32-E72D297353CC}">
              <c16:uniqueId val="{00000001-5FDC-4993-827D-7B1CB9AE3B34}"/>
            </c:ext>
          </c:extLst>
        </c:ser>
        <c:dLbls>
          <c:showLegendKey val="0"/>
          <c:showVal val="0"/>
          <c:showCatName val="0"/>
          <c:showSerName val="0"/>
          <c:showPercent val="0"/>
          <c:showBubbleSize val="0"/>
        </c:dLbls>
        <c:gapWidth val="150"/>
        <c:shape val="box"/>
        <c:axId val="1373687392"/>
        <c:axId val="1373696992"/>
        <c:axId val="0"/>
      </c:bar3DChart>
      <c:catAx>
        <c:axId val="13736873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96992"/>
        <c:crosses val="autoZero"/>
        <c:auto val="1"/>
        <c:lblAlgn val="ctr"/>
        <c:lblOffset val="100"/>
        <c:noMultiLvlLbl val="0"/>
      </c:catAx>
      <c:valAx>
        <c:axId val="137369699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8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aseline="0"/>
              <a:t>BOTTOM 4 REGIONS BY REVENUE</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Pivot!$AR$3</c:f>
              <c:strCache>
                <c:ptCount val="1"/>
                <c:pt idx="0">
                  <c:v>Total</c:v>
                </c:pt>
              </c:strCache>
            </c:strRef>
          </c:tx>
          <c:spPr>
            <a:solidFill>
              <a:srgbClr val="FFC000"/>
            </a:solidFill>
            <a:ln>
              <a:noFill/>
            </a:ln>
            <a:effectLst/>
            <a:sp3d/>
          </c:spPr>
          <c:invertIfNegative val="0"/>
          <c:cat>
            <c:strRef>
              <c:f>Pivot!$AQ$4:$AQ$8</c:f>
              <c:strCache>
                <c:ptCount val="4"/>
                <c:pt idx="0">
                  <c:v>North America</c:v>
                </c:pt>
                <c:pt idx="1">
                  <c:v>Central America and the Caribbean</c:v>
                </c:pt>
                <c:pt idx="2">
                  <c:v>Middle East and North Africa</c:v>
                </c:pt>
                <c:pt idx="3">
                  <c:v>Australia and Oceania</c:v>
                </c:pt>
              </c:strCache>
            </c:strRef>
          </c:cat>
          <c:val>
            <c:numRef>
              <c:f>Pivot!$AR$4:$AR$8</c:f>
              <c:numCache>
                <c:formatCode>_(* #,##0.00_);_(* \(#,##0.00\);_(* "-"??_);_(@_)</c:formatCode>
                <c:ptCount val="4"/>
                <c:pt idx="0">
                  <c:v>5643356.5500000007</c:v>
                </c:pt>
                <c:pt idx="1">
                  <c:v>9170385.4900000002</c:v>
                </c:pt>
                <c:pt idx="2">
                  <c:v>14052706.58</c:v>
                </c:pt>
                <c:pt idx="3">
                  <c:v>14094265.130000003</c:v>
                </c:pt>
              </c:numCache>
            </c:numRef>
          </c:val>
          <c:extLst>
            <c:ext xmlns:c16="http://schemas.microsoft.com/office/drawing/2014/chart" uri="{C3380CC4-5D6E-409C-BE32-E72D297353CC}">
              <c16:uniqueId val="{00000000-986C-4129-A489-0C81A80BA067}"/>
            </c:ext>
          </c:extLst>
        </c:ser>
        <c:dLbls>
          <c:showLegendKey val="0"/>
          <c:showVal val="0"/>
          <c:showCatName val="0"/>
          <c:showSerName val="0"/>
          <c:showPercent val="0"/>
          <c:showBubbleSize val="0"/>
        </c:dLbls>
        <c:gapWidth val="150"/>
        <c:shape val="box"/>
        <c:axId val="1373692192"/>
        <c:axId val="1373698912"/>
        <c:axId val="0"/>
      </c:bar3DChart>
      <c:catAx>
        <c:axId val="1373692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98912"/>
        <c:crosses val="autoZero"/>
        <c:auto val="1"/>
        <c:lblAlgn val="ctr"/>
        <c:lblOffset val="100"/>
        <c:noMultiLvlLbl val="0"/>
      </c:catAx>
      <c:valAx>
        <c:axId val="137369891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9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[Sylip_Sales_Analysis.xlsx]Pivot!PivotTable36</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100" baseline="0"/>
              <a:t>TOP 4 REGIONS BY REVENUE</a:t>
            </a:r>
            <a:endParaRPr lang="en-US" sz="11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Pivot!$AO$3</c:f>
              <c:strCache>
                <c:ptCount val="1"/>
                <c:pt idx="0">
                  <c:v>Total</c:v>
                </c:pt>
              </c:strCache>
            </c:strRef>
          </c:tx>
          <c:spPr>
            <a:solidFill>
              <a:schemeClr val="accent1">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Pivot!$AN$4:$AN$8</c:f>
              <c:strCache>
                <c:ptCount val="4"/>
                <c:pt idx="0">
                  <c:v>Sub-Saharan Africa</c:v>
                </c:pt>
                <c:pt idx="1">
                  <c:v>Europe</c:v>
                </c:pt>
                <c:pt idx="2">
                  <c:v>Asia</c:v>
                </c:pt>
                <c:pt idx="3">
                  <c:v>Australia and Oceania</c:v>
                </c:pt>
              </c:strCache>
            </c:strRef>
          </c:cat>
          <c:val>
            <c:numRef>
              <c:f>Pivot!$AO$4:$AO$8</c:f>
              <c:numCache>
                <c:formatCode>_(* #,##0.00_);_(* \(#,##0.00\);_(* "-"??_);_(@_)</c:formatCode>
                <c:ptCount val="4"/>
                <c:pt idx="0">
                  <c:v>39672031.430000007</c:v>
                </c:pt>
                <c:pt idx="1">
                  <c:v>33368932.109999999</c:v>
                </c:pt>
                <c:pt idx="2">
                  <c:v>21347091.020000003</c:v>
                </c:pt>
                <c:pt idx="3">
                  <c:v>14094265.130000003</c:v>
                </c:pt>
              </c:numCache>
            </c:numRef>
          </c:val>
          <c:extLst>
            <c:ext xmlns:c16="http://schemas.microsoft.com/office/drawing/2014/chart" uri="{C3380CC4-5D6E-409C-BE32-E72D297353CC}">
              <c16:uniqueId val="{00000000-A790-424E-99E3-536D1C903EE6}"/>
            </c:ext>
          </c:extLst>
        </c:ser>
        <c:dLbls>
          <c:showLegendKey val="0"/>
          <c:showVal val="1"/>
          <c:showCatName val="0"/>
          <c:showSerName val="0"/>
          <c:showPercent val="0"/>
          <c:showBubbleSize val="0"/>
        </c:dLbls>
        <c:gapWidth val="79"/>
        <c:shape val="box"/>
        <c:axId val="1173491264"/>
        <c:axId val="745278495"/>
        <c:axId val="0"/>
      </c:bar3DChart>
      <c:catAx>
        <c:axId val="1173491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5278495"/>
        <c:crosses val="autoZero"/>
        <c:auto val="1"/>
        <c:lblAlgn val="ctr"/>
        <c:lblOffset val="100"/>
        <c:noMultiLvlLbl val="0"/>
      </c:catAx>
      <c:valAx>
        <c:axId val="745278495"/>
        <c:scaling>
          <c:orientation val="minMax"/>
        </c:scaling>
        <c:delete val="1"/>
        <c:axPos val="l"/>
        <c:numFmt formatCode="_(* #,##0.00_);_(* \(#,##0.00\);_(* &quot;-&quot;??_);_(@_)" sourceLinked="1"/>
        <c:majorTickMark val="none"/>
        <c:minorTickMark val="none"/>
        <c:tickLblPos val="nextTo"/>
        <c:crossAx val="117349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[Sylip_Sales_Analysis.xlsx]Pivot!PivotTable39</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t>TOP</a:t>
            </a:r>
            <a:r>
              <a:rPr lang="en-US" sz="1100" baseline="0"/>
              <a:t> 4 COUNTRIES BY REVENUE</a:t>
            </a:r>
            <a:endParaRPr lang="en-US" sz="11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57493211564557"/>
          <c:y val="0.10364749105239494"/>
          <c:w val="0.61655733363702347"/>
          <c:h val="0.79516212455350932"/>
        </c:manualLayout>
      </c:layout>
      <c:barChart>
        <c:barDir val="bar"/>
        <c:grouping val="clustered"/>
        <c:varyColors val="0"/>
        <c:ser>
          <c:idx val="0"/>
          <c:order val="0"/>
          <c:tx>
            <c:strRef>
              <c:f>Pivot!$AU$3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Pivot!$AT$4:$AT$8</c:f>
              <c:strCache>
                <c:ptCount val="4"/>
                <c:pt idx="0">
                  <c:v>Turkmenistan</c:v>
                </c:pt>
                <c:pt idx="1">
                  <c:v>Djibouti</c:v>
                </c:pt>
                <c:pt idx="2">
                  <c:v>Myanmar</c:v>
                </c:pt>
                <c:pt idx="3">
                  <c:v>Honduras</c:v>
                </c:pt>
              </c:strCache>
            </c:strRef>
          </c:cat>
          <c:val>
            <c:numRef>
              <c:f>Pivot!$AU$4:$AU$8</c:f>
              <c:numCache>
                <c:formatCode>_(* #,##0.00_);_(* \(#,##0.00\);_(* "-"??_);_(@_)</c:formatCode>
                <c:ptCount val="4"/>
                <c:pt idx="0">
                  <c:v>5822036.2000000002</c:v>
                </c:pt>
                <c:pt idx="1">
                  <c:v>6052890.8600000003</c:v>
                </c:pt>
                <c:pt idx="2">
                  <c:v>6161257.9000000004</c:v>
                </c:pt>
                <c:pt idx="3">
                  <c:v>6336545.4800000004</c:v>
                </c:pt>
              </c:numCache>
            </c:numRef>
          </c:val>
          <c:extLst>
            <c:ext xmlns:c16="http://schemas.microsoft.com/office/drawing/2014/chart" uri="{C3380CC4-5D6E-409C-BE32-E72D297353CC}">
              <c16:uniqueId val="{00000000-F4EE-407E-A68C-9AB6E175A891}"/>
            </c:ext>
          </c:extLst>
        </c:ser>
        <c:dLbls>
          <c:dLblPos val="inEnd"/>
          <c:showLegendKey val="0"/>
          <c:showVal val="1"/>
          <c:showCatName val="0"/>
          <c:showSerName val="0"/>
          <c:showPercent val="0"/>
          <c:showBubbleSize val="0"/>
        </c:dLbls>
        <c:gapWidth val="65"/>
        <c:axId val="1173473504"/>
        <c:axId val="1173489344"/>
      </c:barChart>
      <c:catAx>
        <c:axId val="11734735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3489344"/>
        <c:crosses val="autoZero"/>
        <c:auto val="1"/>
        <c:lblAlgn val="ctr"/>
        <c:lblOffset val="100"/>
        <c:noMultiLvlLbl val="0"/>
      </c:catAx>
      <c:valAx>
        <c:axId val="11734893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3473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[Sylip_Sales_Analysis.xlsx]Pivot!PivotTable40</c:name>
    <c:fmtId val="1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100" baseline="0"/>
              <a:t>BOTTOM 4 COUNTRIES BY REVENUE</a:t>
            </a:r>
            <a:endParaRPr lang="en-US" sz="11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65328598631053"/>
          <c:y val="0.14556818181818179"/>
          <c:w val="0.58535098553857234"/>
          <c:h val="0.8127651515151515"/>
        </c:manualLayout>
      </c:layout>
      <c:barChart>
        <c:barDir val="bar"/>
        <c:grouping val="stacked"/>
        <c:varyColors val="0"/>
        <c:ser>
          <c:idx val="0"/>
          <c:order val="0"/>
          <c:tx>
            <c:strRef>
              <c:f>Pivot!$AX$3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Pivot!$AW$4:$AW$8</c:f>
              <c:strCache>
                <c:ptCount val="4"/>
                <c:pt idx="0">
                  <c:v>Kuwait</c:v>
                </c:pt>
                <c:pt idx="1">
                  <c:v>Kyrgyzstan</c:v>
                </c:pt>
                <c:pt idx="2">
                  <c:v>New Zealand</c:v>
                </c:pt>
                <c:pt idx="3">
                  <c:v>Slovakia</c:v>
                </c:pt>
              </c:strCache>
            </c:strRef>
          </c:cat>
          <c:val>
            <c:numRef>
              <c:f>Pivot!$AX$4:$AX$8</c:f>
              <c:numCache>
                <c:formatCode>_(* #,##0.00_);_(* \(#,##0.00\);_(* "-"??_);_(@_)</c:formatCode>
                <c:ptCount val="4"/>
                <c:pt idx="0">
                  <c:v>4870.26</c:v>
                </c:pt>
                <c:pt idx="1">
                  <c:v>19103.439999999999</c:v>
                </c:pt>
                <c:pt idx="2">
                  <c:v>20404.71</c:v>
                </c:pt>
                <c:pt idx="3">
                  <c:v>26344.26</c:v>
                </c:pt>
              </c:numCache>
            </c:numRef>
          </c:val>
          <c:extLst>
            <c:ext xmlns:c16="http://schemas.microsoft.com/office/drawing/2014/chart" uri="{C3380CC4-5D6E-409C-BE32-E72D297353CC}">
              <c16:uniqueId val="{00000000-510F-476E-9F5A-8EEF7BC76DFE}"/>
            </c:ext>
          </c:extLst>
        </c:ser>
        <c:dLbls>
          <c:dLblPos val="ctr"/>
          <c:showLegendKey val="0"/>
          <c:showVal val="1"/>
          <c:showCatName val="0"/>
          <c:showSerName val="0"/>
          <c:showPercent val="0"/>
          <c:showBubbleSize val="0"/>
        </c:dLbls>
        <c:gapWidth val="79"/>
        <c:overlap val="100"/>
        <c:axId val="1532862464"/>
        <c:axId val="1532881184"/>
      </c:barChart>
      <c:catAx>
        <c:axId val="153286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32881184"/>
        <c:crosses val="autoZero"/>
        <c:auto val="1"/>
        <c:lblAlgn val="ctr"/>
        <c:lblOffset val="100"/>
        <c:noMultiLvlLbl val="0"/>
      </c:catAx>
      <c:valAx>
        <c:axId val="1532881184"/>
        <c:scaling>
          <c:orientation val="minMax"/>
        </c:scaling>
        <c:delete val="1"/>
        <c:axPos val="b"/>
        <c:numFmt formatCode="_(* #,##0.00_);_(* \(#,##0.00\);_(* &quot;-&quot;??_);_(@_)" sourceLinked="1"/>
        <c:majorTickMark val="none"/>
        <c:minorTickMark val="none"/>
        <c:tickLblPos val="nextTo"/>
        <c:crossAx val="153286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[Sylip_Sales_Analysis.xlsx]Pivot!PivotTable41</c:name>
    <c:fmtId val="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100"/>
              <a:t>TOP</a:t>
            </a:r>
            <a:r>
              <a:rPr lang="en-US" sz="1100" baseline="0"/>
              <a:t> 4 PRODUCTS BY REVENUE</a:t>
            </a:r>
            <a:endParaRPr lang="en-US" sz="1100"/>
          </a:p>
        </c:rich>
      </c:tx>
      <c:overlay val="0"/>
      <c:spPr>
        <a:solidFill>
          <a:schemeClr val="tx1">
            <a:lumMod val="50000"/>
            <a:lumOff val="50000"/>
          </a:schemeClr>
        </a:solid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Pivot!$BA$3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Pivot!$AZ$4:$AZ$8</c:f>
              <c:strCache>
                <c:ptCount val="4"/>
                <c:pt idx="0">
                  <c:v>Cosmetics</c:v>
                </c:pt>
                <c:pt idx="1">
                  <c:v>Office Supplies</c:v>
                </c:pt>
                <c:pt idx="2">
                  <c:v>Household</c:v>
                </c:pt>
                <c:pt idx="3">
                  <c:v>Baby Food</c:v>
                </c:pt>
              </c:strCache>
            </c:strRef>
          </c:cat>
          <c:val>
            <c:numRef>
              <c:f>Pivot!$BA$4:$BA$8</c:f>
              <c:numCache>
                <c:formatCode>_(* #,##0.00_);_(* \(#,##0.00\);_(* "-"??_);_(@_)</c:formatCode>
                <c:ptCount val="4"/>
                <c:pt idx="0">
                  <c:v>36601509.600000001</c:v>
                </c:pt>
                <c:pt idx="1">
                  <c:v>30585380.07</c:v>
                </c:pt>
                <c:pt idx="2">
                  <c:v>29889712.289999995</c:v>
                </c:pt>
                <c:pt idx="3">
                  <c:v>10350327.6</c:v>
                </c:pt>
              </c:numCache>
            </c:numRef>
          </c:val>
          <c:extLst>
            <c:ext xmlns:c16="http://schemas.microsoft.com/office/drawing/2014/chart" uri="{C3380CC4-5D6E-409C-BE32-E72D297353CC}">
              <c16:uniqueId val="{00000000-37D7-4BAC-86E4-54F882DE7C42}"/>
            </c:ext>
          </c:extLst>
        </c:ser>
        <c:dLbls>
          <c:showLegendKey val="0"/>
          <c:showVal val="1"/>
          <c:showCatName val="0"/>
          <c:showSerName val="0"/>
          <c:showPercent val="0"/>
          <c:showBubbleSize val="0"/>
        </c:dLbls>
        <c:gapWidth val="84"/>
        <c:gapDepth val="53"/>
        <c:shape val="box"/>
        <c:axId val="1265709632"/>
        <c:axId val="1265710592"/>
        <c:axId val="0"/>
      </c:bar3DChart>
      <c:catAx>
        <c:axId val="1265709632"/>
        <c:scaling>
          <c:orientation val="minMax"/>
        </c:scaling>
        <c:delete val="0"/>
        <c:axPos val="l"/>
        <c:numFmt formatCode="General" sourceLinked="1"/>
        <c:majorTickMark val="none"/>
        <c:minorTickMark val="none"/>
        <c:tickLblPos val="nextTo"/>
        <c:spPr>
          <a:solidFill>
            <a:schemeClr val="accent2">
              <a:lumMod val="50000"/>
            </a:schemeClr>
          </a:solid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5710592"/>
        <c:crosses val="autoZero"/>
        <c:auto val="1"/>
        <c:lblAlgn val="ctr"/>
        <c:lblOffset val="100"/>
        <c:noMultiLvlLbl val="0"/>
      </c:catAx>
      <c:valAx>
        <c:axId val="1265710592"/>
        <c:scaling>
          <c:orientation val="minMax"/>
        </c:scaling>
        <c:delete val="1"/>
        <c:axPos val="b"/>
        <c:numFmt formatCode="_(* #,##0.00_);_(* \(#,##0.00\);_(* &quot;-&quot;??_);_(@_)" sourceLinked="1"/>
        <c:majorTickMark val="out"/>
        <c:minorTickMark val="none"/>
        <c:tickLblPos val="nextTo"/>
        <c:crossAx val="1265709632"/>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BOTTOM 4 PRODUCTS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352233616720689"/>
                  <c:h val="0.10121052602414846"/>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556928795795781"/>
                  <c:h val="0.10121052602414846"/>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159276385333322"/>
                  <c:h val="0.10121052602414846"/>
                </c:manualLayout>
              </c15:layout>
            </c:ext>
          </c:extLst>
        </c:dLbl>
      </c:pivotFmt>
    </c:pivotFmts>
    <c:plotArea>
      <c:layout/>
      <c:barChart>
        <c:barDir val="col"/>
        <c:grouping val="clustered"/>
        <c:varyColors val="0"/>
        <c:ser>
          <c:idx val="0"/>
          <c:order val="0"/>
          <c:tx>
            <c:strRef>
              <c:f>Pivot!$BD$3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9-55A5-47E1-9B0F-BDB996415363}"/>
              </c:ext>
            </c:extLst>
          </c:dPt>
          <c:dPt>
            <c:idx val="1"/>
            <c:invertIfNegative val="0"/>
            <c:bubble3D val="0"/>
            <c:extLst>
              <c:ext xmlns:c16="http://schemas.microsoft.com/office/drawing/2014/chart" uri="{C3380CC4-5D6E-409C-BE32-E72D297353CC}">
                <c16:uniqueId val="{0000000B-55A5-47E1-9B0F-BDB996415363}"/>
              </c:ext>
            </c:extLst>
          </c:dPt>
          <c:dPt>
            <c:idx val="2"/>
            <c:invertIfNegative val="0"/>
            <c:bubble3D val="0"/>
            <c:extLst>
              <c:ext xmlns:c16="http://schemas.microsoft.com/office/drawing/2014/chart" uri="{C3380CC4-5D6E-409C-BE32-E72D297353CC}">
                <c16:uniqueId val="{0000000D-55A5-47E1-9B0F-BDB996415363}"/>
              </c:ext>
            </c:extLst>
          </c:dPt>
          <c:dPt>
            <c:idx val="3"/>
            <c:invertIfNegative val="0"/>
            <c:bubble3D val="0"/>
            <c:extLst>
              <c:ext xmlns:c16="http://schemas.microsoft.com/office/drawing/2014/chart" uri="{C3380CC4-5D6E-409C-BE32-E72D297353CC}">
                <c16:uniqueId val="{0000000F-55A5-47E1-9B0F-BDB996415363}"/>
              </c:ext>
            </c:extLst>
          </c:dPt>
          <c:dLbls>
            <c:dLbl>
              <c:idx val="1"/>
              <c:dLblPos val="inEnd"/>
              <c:showLegendKey val="0"/>
              <c:showVal val="1"/>
              <c:showCatName val="0"/>
              <c:showSerName val="0"/>
              <c:showPercent val="0"/>
              <c:showBubbleSize val="0"/>
              <c:extLst>
                <c:ext xmlns:c15="http://schemas.microsoft.com/office/drawing/2012/chart" uri="{CE6537A1-D6FC-4f65-9D91-7224C49458BB}">
                  <c15:layout>
                    <c:manualLayout>
                      <c:w val="0.24352233616720689"/>
                      <c:h val="0.10121052602414846"/>
                    </c:manualLayout>
                  </c15:layout>
                </c:ext>
                <c:ext xmlns:c16="http://schemas.microsoft.com/office/drawing/2014/chart" uri="{C3380CC4-5D6E-409C-BE32-E72D297353CC}">
                  <c16:uniqueId val="{0000000B-55A5-47E1-9B0F-BDB996415363}"/>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3556928795795781"/>
                      <c:h val="0.10121052602414846"/>
                    </c:manualLayout>
                  </c15:layout>
                </c:ext>
                <c:ext xmlns:c16="http://schemas.microsoft.com/office/drawing/2014/chart" uri="{C3380CC4-5D6E-409C-BE32-E72D297353CC}">
                  <c16:uniqueId val="{0000000D-55A5-47E1-9B0F-BDB996415363}"/>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3159276385333322"/>
                      <c:h val="0.10121052602414846"/>
                    </c:manualLayout>
                  </c15:layout>
                </c:ext>
                <c:ext xmlns:c16="http://schemas.microsoft.com/office/drawing/2014/chart" uri="{C3380CC4-5D6E-409C-BE32-E72D297353CC}">
                  <c16:uniqueId val="{0000000F-55A5-47E1-9B0F-BDB9964153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Pivot!$BC$4:$BC$8</c:f>
              <c:strCache>
                <c:ptCount val="4"/>
                <c:pt idx="0">
                  <c:v>Fruits</c:v>
                </c:pt>
                <c:pt idx="1">
                  <c:v>Snacks</c:v>
                </c:pt>
                <c:pt idx="2">
                  <c:v>Beverages</c:v>
                </c:pt>
                <c:pt idx="3">
                  <c:v>Vegetables</c:v>
                </c:pt>
              </c:strCache>
            </c:strRef>
          </c:cat>
          <c:val>
            <c:numRef>
              <c:f>Pivot!$BD$4:$BD$8</c:f>
              <c:numCache>
                <c:formatCode>_(* #,##0.00_);_(* \(#,##0.00\);_(* "-"??_);_(@_)</c:formatCode>
                <c:ptCount val="4"/>
                <c:pt idx="0">
                  <c:v>466481.34</c:v>
                </c:pt>
                <c:pt idx="1">
                  <c:v>2080733.46</c:v>
                </c:pt>
                <c:pt idx="2">
                  <c:v>2690794.6</c:v>
                </c:pt>
                <c:pt idx="3">
                  <c:v>3089057.06</c:v>
                </c:pt>
              </c:numCache>
            </c:numRef>
          </c:val>
          <c:extLst>
            <c:ext xmlns:c16="http://schemas.microsoft.com/office/drawing/2014/chart" uri="{C3380CC4-5D6E-409C-BE32-E72D297353CC}">
              <c16:uniqueId val="{00000010-55A5-47E1-9B0F-BDB996415363}"/>
            </c:ext>
          </c:extLst>
        </c:ser>
        <c:dLbls>
          <c:dLblPos val="inEnd"/>
          <c:showLegendKey val="0"/>
          <c:showVal val="1"/>
          <c:showCatName val="0"/>
          <c:showSerName val="0"/>
          <c:showPercent val="0"/>
          <c:showBubbleSize val="0"/>
        </c:dLbls>
        <c:gapWidth val="100"/>
        <c:overlap val="-24"/>
        <c:axId val="1422782912"/>
        <c:axId val="1422812672"/>
      </c:barChart>
      <c:catAx>
        <c:axId val="1422782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812672"/>
        <c:crosses val="autoZero"/>
        <c:auto val="1"/>
        <c:lblAlgn val="ctr"/>
        <c:lblOffset val="100"/>
        <c:noMultiLvlLbl val="0"/>
      </c:catAx>
      <c:valAx>
        <c:axId val="1422812672"/>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78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BOTTOM 4 YEARS BY REVENUE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pivotFmt>
      <c:pivotFmt>
        <c:idx val="17"/>
        <c:spPr>
          <a:solidFill>
            <a:schemeClr val="accent1">
              <a:alpha val="85000"/>
            </a:schemeClr>
          </a:solidFill>
          <a:ln w="9525" cap="flat" cmpd="sng" algn="ctr">
            <a:solidFill>
              <a:schemeClr val="lt1">
                <a:alpha val="50000"/>
              </a:schemeClr>
            </a:solidFill>
            <a:round/>
          </a:ln>
          <a:effectLst/>
        </c:spPr>
      </c:pivotFmt>
      <c:pivotFmt>
        <c:idx val="18"/>
        <c:spPr>
          <a:solidFill>
            <a:schemeClr val="accent1">
              <a:alpha val="85000"/>
            </a:schemeClr>
          </a:solidFill>
          <a:ln w="9525" cap="flat" cmpd="sng" algn="ctr">
            <a:solidFill>
              <a:schemeClr val="lt1">
                <a:alpha val="50000"/>
              </a:schemeClr>
            </a:solidFill>
            <a:round/>
          </a:ln>
          <a:effectLst/>
        </c:spPr>
      </c:pivotFmt>
      <c:pivotFmt>
        <c:idx val="19"/>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Pivot!$BG$3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A-1CF0-4905-AA2C-823BEBAF2390}"/>
              </c:ext>
            </c:extLst>
          </c:dPt>
          <c:dPt>
            <c:idx val="1"/>
            <c:invertIfNegative val="0"/>
            <c:bubble3D val="0"/>
            <c:extLst>
              <c:ext xmlns:c16="http://schemas.microsoft.com/office/drawing/2014/chart" uri="{C3380CC4-5D6E-409C-BE32-E72D297353CC}">
                <c16:uniqueId val="{0000000C-1CF0-4905-AA2C-823BEBAF2390}"/>
              </c:ext>
            </c:extLst>
          </c:dPt>
          <c:dPt>
            <c:idx val="2"/>
            <c:invertIfNegative val="0"/>
            <c:bubble3D val="0"/>
            <c:extLst>
              <c:ext xmlns:c16="http://schemas.microsoft.com/office/drawing/2014/chart" uri="{C3380CC4-5D6E-409C-BE32-E72D297353CC}">
                <c16:uniqueId val="{0000000E-1CF0-4905-AA2C-823BEBAF2390}"/>
              </c:ext>
            </c:extLst>
          </c:dPt>
          <c:dPt>
            <c:idx val="3"/>
            <c:invertIfNegative val="0"/>
            <c:bubble3D val="0"/>
            <c:extLst>
              <c:ext xmlns:c16="http://schemas.microsoft.com/office/drawing/2014/chart" uri="{C3380CC4-5D6E-409C-BE32-E72D297353CC}">
                <c16:uniqueId val="{00000010-1CF0-4905-AA2C-823BEBAF23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Pivot!$BF$4:$BF$8</c:f>
              <c:strCache>
                <c:ptCount val="4"/>
                <c:pt idx="0">
                  <c:v>2012</c:v>
                </c:pt>
                <c:pt idx="1">
                  <c:v>2013</c:v>
                </c:pt>
                <c:pt idx="2">
                  <c:v>2010</c:v>
                </c:pt>
                <c:pt idx="3">
                  <c:v>2014</c:v>
                </c:pt>
              </c:strCache>
            </c:strRef>
          </c:cat>
          <c:val>
            <c:numRef>
              <c:f>Pivot!$BG$4:$BG$8</c:f>
              <c:numCache>
                <c:formatCode>_(* #,##0.00_);_(* \(#,##0.00\);_(* "-"??_);_(@_)</c:formatCode>
                <c:ptCount val="4"/>
                <c:pt idx="0">
                  <c:v>31898644.52</c:v>
                </c:pt>
                <c:pt idx="1">
                  <c:v>20330448.66</c:v>
                </c:pt>
                <c:pt idx="2">
                  <c:v>19186024.920000002</c:v>
                </c:pt>
                <c:pt idx="3">
                  <c:v>16630214.430000002</c:v>
                </c:pt>
              </c:numCache>
            </c:numRef>
          </c:val>
          <c:extLst>
            <c:ext xmlns:c16="http://schemas.microsoft.com/office/drawing/2014/chart" uri="{C3380CC4-5D6E-409C-BE32-E72D297353CC}">
              <c16:uniqueId val="{00000011-1CF0-4905-AA2C-823BEBAF2390}"/>
            </c:ext>
          </c:extLst>
        </c:ser>
        <c:dLbls>
          <c:dLblPos val="ctr"/>
          <c:showLegendKey val="0"/>
          <c:showVal val="1"/>
          <c:showCatName val="0"/>
          <c:showSerName val="0"/>
          <c:showPercent val="0"/>
          <c:showBubbleSize val="0"/>
        </c:dLbls>
        <c:gapWidth val="150"/>
        <c:overlap val="100"/>
        <c:axId val="1248525072"/>
        <c:axId val="1248514992"/>
      </c:barChart>
      <c:catAx>
        <c:axId val="12485250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8514992"/>
        <c:crosses val="autoZero"/>
        <c:auto val="1"/>
        <c:lblAlgn val="ctr"/>
        <c:lblOffset val="100"/>
        <c:noMultiLvlLbl val="0"/>
      </c:catAx>
      <c:valAx>
        <c:axId val="12485149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00_);_(* \(#,##0.00\);_(* &quot;-&quot;??_);_(@_)" sourceLinked="1"/>
        <c:majorTickMark val="none"/>
        <c:minorTickMark val="none"/>
        <c:tickLblPos val="nextTo"/>
        <c:crossAx val="1248525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[Sylip_Sales_Analysis.xlsx]Pivot!PivotTable45</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GB" sz="1100"/>
              <a:t>TOP</a:t>
            </a:r>
            <a:r>
              <a:rPr lang="en-GB" sz="1100" baseline="0"/>
              <a:t> 4 YEAR BY REVENU</a:t>
            </a:r>
            <a:endParaRPr lang="en-GB" sz="11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Pivot!$BJ$3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A-37C5-4A15-811F-16EB5B58E170}"/>
              </c:ext>
            </c:extLst>
          </c:dPt>
          <c:dPt>
            <c:idx val="1"/>
            <c:invertIfNegative val="0"/>
            <c:bubble3D val="0"/>
            <c:extLst>
              <c:ext xmlns:c16="http://schemas.microsoft.com/office/drawing/2014/chart" uri="{C3380CC4-5D6E-409C-BE32-E72D297353CC}">
                <c16:uniqueId val="{0000000C-37C5-4A15-811F-16EB5B58E170}"/>
              </c:ext>
            </c:extLst>
          </c:dPt>
          <c:dPt>
            <c:idx val="2"/>
            <c:invertIfNegative val="0"/>
            <c:bubble3D val="0"/>
            <c:extLst>
              <c:ext xmlns:c16="http://schemas.microsoft.com/office/drawing/2014/chart" uri="{C3380CC4-5D6E-409C-BE32-E72D297353CC}">
                <c16:uniqueId val="{0000000E-37C5-4A15-811F-16EB5B58E170}"/>
              </c:ext>
            </c:extLst>
          </c:dPt>
          <c:dPt>
            <c:idx val="3"/>
            <c:invertIfNegative val="0"/>
            <c:bubble3D val="0"/>
            <c:extLst>
              <c:ext xmlns:c16="http://schemas.microsoft.com/office/drawing/2014/chart" uri="{C3380CC4-5D6E-409C-BE32-E72D297353CC}">
                <c16:uniqueId val="{00000010-37C5-4A15-811F-16EB5B58E17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Pivot!$BI$4:$BI$8</c:f>
              <c:strCache>
                <c:ptCount val="4"/>
                <c:pt idx="0">
                  <c:v>2011</c:v>
                </c:pt>
                <c:pt idx="1">
                  <c:v>2016</c:v>
                </c:pt>
                <c:pt idx="2">
                  <c:v>2015</c:v>
                </c:pt>
                <c:pt idx="3">
                  <c:v>2017</c:v>
                </c:pt>
              </c:strCache>
            </c:strRef>
          </c:cat>
          <c:val>
            <c:numRef>
              <c:f>Pivot!$BJ$4:$BJ$8</c:f>
              <c:numCache>
                <c:formatCode>_(* #,##0.00_);_(* \(#,##0.00\);_(* "-"??_);_(@_)</c:formatCode>
                <c:ptCount val="4"/>
                <c:pt idx="0">
                  <c:v>11129166.07</c:v>
                </c:pt>
                <c:pt idx="1">
                  <c:v>12372867.219999999</c:v>
                </c:pt>
                <c:pt idx="2">
                  <c:v>12427982.860000001</c:v>
                </c:pt>
                <c:pt idx="3">
                  <c:v>13373419.629999999</c:v>
                </c:pt>
              </c:numCache>
            </c:numRef>
          </c:val>
          <c:extLst>
            <c:ext xmlns:c16="http://schemas.microsoft.com/office/drawing/2014/chart" uri="{C3380CC4-5D6E-409C-BE32-E72D297353CC}">
              <c16:uniqueId val="{00000011-37C5-4A15-811F-16EB5B58E170}"/>
            </c:ext>
          </c:extLst>
        </c:ser>
        <c:dLbls>
          <c:dLblPos val="inEnd"/>
          <c:showLegendKey val="0"/>
          <c:showVal val="1"/>
          <c:showCatName val="0"/>
          <c:showSerName val="0"/>
          <c:showPercent val="0"/>
          <c:showBubbleSize val="0"/>
        </c:dLbls>
        <c:gapWidth val="41"/>
        <c:axId val="1807692176"/>
        <c:axId val="1807695536"/>
      </c:barChart>
      <c:catAx>
        <c:axId val="180769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07695536"/>
        <c:crosses val="autoZero"/>
        <c:auto val="1"/>
        <c:lblAlgn val="ctr"/>
        <c:lblOffset val="100"/>
        <c:noMultiLvlLbl val="0"/>
      </c:catAx>
      <c:valAx>
        <c:axId val="1807695536"/>
        <c:scaling>
          <c:orientation val="minMax"/>
        </c:scaling>
        <c:delete val="1"/>
        <c:axPos val="l"/>
        <c:numFmt formatCode="_(* #,##0.00_);_(* \(#,##0.00\);_(* &quot;-&quot;??_);_(@_)" sourceLinked="1"/>
        <c:majorTickMark val="none"/>
        <c:minorTickMark val="none"/>
        <c:tickLblPos val="nextTo"/>
        <c:crossAx val="180769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[Sylip_Sales_Analysis.xlsx]Pivot!PivotTable46</c:name>
    <c:fmtId val="4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sz="1100"/>
              <a:t>YoY</a:t>
            </a:r>
            <a:r>
              <a:rPr lang="en-GB" sz="1100" baseline="0"/>
              <a:t> REVENUE GROWTH</a:t>
            </a:r>
            <a:endParaRPr lang="en-GB" sz="1100"/>
          </a:p>
        </c:rich>
      </c:tx>
      <c:layout>
        <c:manualLayout>
          <c:xMode val="edge"/>
          <c:yMode val="edge"/>
          <c:x val="0.32993179927190108"/>
          <c:y val="8.612360794833132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14385394049833"/>
          <c:y val="0.16564596092155148"/>
          <c:w val="0.42144641294838148"/>
          <c:h val="0.65853091280256637"/>
        </c:manualLayout>
      </c:layout>
      <c:lineChart>
        <c:grouping val="stacked"/>
        <c:varyColors val="0"/>
        <c:ser>
          <c:idx val="0"/>
          <c:order val="0"/>
          <c:tx>
            <c:strRef>
              <c:f>Pivot!$BM$3</c:f>
              <c:strCache>
                <c:ptCount val="1"/>
                <c:pt idx="0">
                  <c:v>Sum of Total Revenue (£)</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Pivot!$BL$4:$BL$12</c:f>
              <c:strCache>
                <c:ptCount val="8"/>
                <c:pt idx="0">
                  <c:v>2010</c:v>
                </c:pt>
                <c:pt idx="1">
                  <c:v>2011</c:v>
                </c:pt>
                <c:pt idx="2">
                  <c:v>2012</c:v>
                </c:pt>
                <c:pt idx="3">
                  <c:v>2013</c:v>
                </c:pt>
                <c:pt idx="4">
                  <c:v>2014</c:v>
                </c:pt>
                <c:pt idx="5">
                  <c:v>2015</c:v>
                </c:pt>
                <c:pt idx="6">
                  <c:v>2016</c:v>
                </c:pt>
                <c:pt idx="7">
                  <c:v>2017</c:v>
                </c:pt>
              </c:strCache>
            </c:strRef>
          </c:cat>
          <c:val>
            <c:numRef>
              <c:f>Pivot!$BM$4:$BM$12</c:f>
              <c:numCache>
                <c:formatCode>_(* #,##0.00_);_(* \(#,##0.00\);_(* "-"??_);_(@_)</c:formatCode>
                <c:ptCount val="8"/>
                <c:pt idx="0">
                  <c:v>19186024.920000002</c:v>
                </c:pt>
                <c:pt idx="1">
                  <c:v>11129166.07</c:v>
                </c:pt>
                <c:pt idx="2">
                  <c:v>31898644.52</c:v>
                </c:pt>
                <c:pt idx="3">
                  <c:v>20330448.66</c:v>
                </c:pt>
                <c:pt idx="4">
                  <c:v>16630214.430000002</c:v>
                </c:pt>
                <c:pt idx="5">
                  <c:v>12427982.860000001</c:v>
                </c:pt>
                <c:pt idx="6">
                  <c:v>12372867.219999999</c:v>
                </c:pt>
                <c:pt idx="7">
                  <c:v>13373419.629999999</c:v>
                </c:pt>
              </c:numCache>
            </c:numRef>
          </c:val>
          <c:smooth val="0"/>
          <c:extLst>
            <c:ext xmlns:c16="http://schemas.microsoft.com/office/drawing/2014/chart" uri="{C3380CC4-5D6E-409C-BE32-E72D297353CC}">
              <c16:uniqueId val="{00000000-D50E-49DC-B015-2041334998B7}"/>
            </c:ext>
          </c:extLst>
        </c:ser>
        <c:ser>
          <c:idx val="1"/>
          <c:order val="1"/>
          <c:tx>
            <c:strRef>
              <c:f>Pivot!$BN$3</c:f>
              <c:strCache>
                <c:ptCount val="1"/>
                <c:pt idx="0">
                  <c:v>YoY Growth%</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Pivot!$BL$4:$BL$12</c:f>
              <c:strCache>
                <c:ptCount val="8"/>
                <c:pt idx="0">
                  <c:v>2010</c:v>
                </c:pt>
                <c:pt idx="1">
                  <c:v>2011</c:v>
                </c:pt>
                <c:pt idx="2">
                  <c:v>2012</c:v>
                </c:pt>
                <c:pt idx="3">
                  <c:v>2013</c:v>
                </c:pt>
                <c:pt idx="4">
                  <c:v>2014</c:v>
                </c:pt>
                <c:pt idx="5">
                  <c:v>2015</c:v>
                </c:pt>
                <c:pt idx="6">
                  <c:v>2016</c:v>
                </c:pt>
                <c:pt idx="7">
                  <c:v>2017</c:v>
                </c:pt>
              </c:strCache>
            </c:strRef>
          </c:cat>
          <c:val>
            <c:numRef>
              <c:f>Pivot!$BN$4:$BN$12</c:f>
              <c:numCache>
                <c:formatCode>0.00%</c:formatCode>
                <c:ptCount val="8"/>
                <c:pt idx="1">
                  <c:v>-0.41993372173729049</c:v>
                </c:pt>
                <c:pt idx="2">
                  <c:v>1.866220552318526</c:v>
                </c:pt>
                <c:pt idx="3">
                  <c:v>-0.36265477841062821</c:v>
                </c:pt>
                <c:pt idx="4">
                  <c:v>-0.18200455345976602</c:v>
                </c:pt>
                <c:pt idx="5">
                  <c:v>-0.25268655360326581</c:v>
                </c:pt>
                <c:pt idx="6">
                  <c:v>-4.4348017390170788E-3</c:v>
                </c:pt>
                <c:pt idx="7">
                  <c:v>8.0866657033437414E-2</c:v>
                </c:pt>
              </c:numCache>
            </c:numRef>
          </c:val>
          <c:smooth val="0"/>
          <c:extLst>
            <c:ext xmlns:c16="http://schemas.microsoft.com/office/drawing/2014/chart" uri="{C3380CC4-5D6E-409C-BE32-E72D297353CC}">
              <c16:uniqueId val="{00000001-D50E-49DC-B015-2041334998B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02478175"/>
        <c:axId val="902474335"/>
      </c:lineChart>
      <c:catAx>
        <c:axId val="9024781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02474335"/>
        <c:crosses val="autoZero"/>
        <c:auto val="1"/>
        <c:lblAlgn val="ctr"/>
        <c:lblOffset val="100"/>
        <c:noMultiLvlLbl val="0"/>
      </c:catAx>
      <c:valAx>
        <c:axId val="902474335"/>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0247817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latin typeface="+mn-lt"/>
              </a:rPr>
              <a:t>Total Profit</a:t>
            </a:r>
            <a:r>
              <a:rPr lang="en-US" sz="1200" b="1" baseline="0">
                <a:solidFill>
                  <a:sysClr val="windowText" lastClr="000000"/>
                </a:solidFill>
                <a:latin typeface="+mn-lt"/>
              </a:rPr>
              <a:t> Per Region</a:t>
            </a:r>
            <a:r>
              <a:rPr lang="en-US" sz="1200" b="1">
                <a:solidFill>
                  <a:sysClr val="windowText" lastClr="000000"/>
                </a:solidFill>
                <a:latin typeface="+mn-lt"/>
              </a:rPr>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8189841525933979"/>
          <c:y val="0.15766666666666668"/>
          <c:w val="0.6854364028549883"/>
          <c:h val="0.41565879265091865"/>
        </c:manualLayout>
      </c:layout>
      <c:barChart>
        <c:barDir val="col"/>
        <c:grouping val="clustered"/>
        <c:varyColors val="0"/>
        <c:ser>
          <c:idx val="0"/>
          <c:order val="0"/>
          <c:tx>
            <c:strRef>
              <c:f>Tables_Charts!$T$5</c:f>
              <c:strCache>
                <c:ptCount val="1"/>
                <c:pt idx="0">
                  <c:v>Total profit (£)</c:v>
                </c:pt>
              </c:strCache>
            </c:strRef>
          </c:tx>
          <c:spPr>
            <a:solidFill>
              <a:schemeClr val="accent1"/>
            </a:solidFill>
            <a:ln>
              <a:noFill/>
            </a:ln>
            <a:effectLst/>
          </c:spPr>
          <c:invertIfNegative val="0"/>
          <c:cat>
            <c:strRef>
              <c:f>Tables_Charts!$S$6:$S$12</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Tables_Charts!$T$6:$T$12</c:f>
              <c:numCache>
                <c:formatCode>_(* #,##0.00_);_(* \(#,##0.00\);_(* "-"??_);_(@_)</c:formatCode>
                <c:ptCount val="7"/>
                <c:pt idx="0">
                  <c:v>6113845.8700000001</c:v>
                </c:pt>
                <c:pt idx="1">
                  <c:v>4722160.03</c:v>
                </c:pt>
                <c:pt idx="2">
                  <c:v>2846907.85</c:v>
                </c:pt>
                <c:pt idx="3">
                  <c:v>11082938.629999999</c:v>
                </c:pt>
                <c:pt idx="4">
                  <c:v>5761191.8599999994</c:v>
                </c:pt>
                <c:pt idx="5">
                  <c:v>1457942.76</c:v>
                </c:pt>
                <c:pt idx="6">
                  <c:v>12183211.400000004</c:v>
                </c:pt>
              </c:numCache>
            </c:numRef>
          </c:val>
          <c:extLst>
            <c:ext xmlns:c16="http://schemas.microsoft.com/office/drawing/2014/chart" uri="{C3380CC4-5D6E-409C-BE32-E72D297353CC}">
              <c16:uniqueId val="{00000000-4A4D-4FD7-8DF5-C128BF33CFF6}"/>
            </c:ext>
          </c:extLst>
        </c:ser>
        <c:dLbls>
          <c:showLegendKey val="0"/>
          <c:showVal val="0"/>
          <c:showCatName val="0"/>
          <c:showSerName val="0"/>
          <c:showPercent val="0"/>
          <c:showBubbleSize val="0"/>
        </c:dLbls>
        <c:gapWidth val="219"/>
        <c:overlap val="-27"/>
        <c:axId val="1399702319"/>
        <c:axId val="1399717679"/>
      </c:barChart>
      <c:catAx>
        <c:axId val="1399702319"/>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b="1">
                    <a:solidFill>
                      <a:sysClr val="windowText" lastClr="000000"/>
                    </a:solidFill>
                  </a:rPr>
                  <a:t>Regions</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17679"/>
        <c:crosses val="autoZero"/>
        <c:auto val="1"/>
        <c:lblAlgn val="ctr"/>
        <c:lblOffset val="100"/>
        <c:noMultiLvlLbl val="0"/>
      </c:catAx>
      <c:valAx>
        <c:axId val="139971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b="1">
                    <a:solidFill>
                      <a:sysClr val="windowText" lastClr="000000"/>
                    </a:solidFill>
                  </a:rPr>
                  <a:t>Total</a:t>
                </a:r>
                <a:r>
                  <a:rPr lang="en-GB" sz="1200" b="1" baseline="0">
                    <a:solidFill>
                      <a:sysClr val="windowText" lastClr="000000"/>
                    </a:solidFill>
                  </a:rPr>
                  <a:t> Profit (£)</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02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0" normalizeH="0" baseline="0">
                <a:solidFill>
                  <a:sysClr val="windowText" lastClr="000000"/>
                </a:solidFill>
                <a:latin typeface="+mn-lt"/>
                <a:ea typeface="+mj-ea"/>
                <a:cs typeface="+mj-cs"/>
              </a:defRPr>
            </a:pPr>
            <a:r>
              <a:rPr lang="en-GB" sz="1200">
                <a:solidFill>
                  <a:sysClr val="windowText" lastClr="000000"/>
                </a:solidFill>
                <a:latin typeface="+mn-lt"/>
              </a:rPr>
              <a:t>Total Revenue Per Year</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ysClr val="windowText" lastClr="000000"/>
              </a:solidFill>
              <a:latin typeface="+mn-lt"/>
              <a:ea typeface="+mj-ea"/>
              <a:cs typeface="+mj-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Tables_Charts!$S$17:$S$24</c:f>
              <c:numCache>
                <c:formatCode>@</c:formatCode>
                <c:ptCount val="8"/>
                <c:pt idx="0">
                  <c:v>2010</c:v>
                </c:pt>
                <c:pt idx="1">
                  <c:v>2011</c:v>
                </c:pt>
                <c:pt idx="2">
                  <c:v>2012</c:v>
                </c:pt>
                <c:pt idx="3">
                  <c:v>2013</c:v>
                </c:pt>
                <c:pt idx="4">
                  <c:v>2014</c:v>
                </c:pt>
                <c:pt idx="5">
                  <c:v>2015</c:v>
                </c:pt>
                <c:pt idx="6">
                  <c:v>2016</c:v>
                </c:pt>
                <c:pt idx="7">
                  <c:v>2017</c:v>
                </c:pt>
              </c:numCache>
            </c:numRef>
          </c:cat>
          <c:val>
            <c:numRef>
              <c:f>Tables_Charts!$T$17:$T$24</c:f>
              <c:numCache>
                <c:formatCode>_(* #,##0.00_);_(* \(#,##0.00\);_(* "-"??_);_(@_)</c:formatCode>
                <c:ptCount val="8"/>
                <c:pt idx="0">
                  <c:v>19186024.920000002</c:v>
                </c:pt>
                <c:pt idx="1">
                  <c:v>11129166.07</c:v>
                </c:pt>
                <c:pt idx="2">
                  <c:v>31898644.52</c:v>
                </c:pt>
                <c:pt idx="3">
                  <c:v>20330448.66</c:v>
                </c:pt>
                <c:pt idx="4">
                  <c:v>16630214.430000002</c:v>
                </c:pt>
                <c:pt idx="5">
                  <c:v>12427982.860000001</c:v>
                </c:pt>
                <c:pt idx="6">
                  <c:v>12372867.219999999</c:v>
                </c:pt>
                <c:pt idx="7">
                  <c:v>13373419.629999999</c:v>
                </c:pt>
              </c:numCache>
            </c:numRef>
          </c:val>
          <c:extLst>
            <c:ext xmlns:c16="http://schemas.microsoft.com/office/drawing/2014/chart" uri="{C3380CC4-5D6E-409C-BE32-E72D297353CC}">
              <c16:uniqueId val="{00000000-FA2C-4539-8C79-804E1FD8DEF4}"/>
            </c:ext>
          </c:extLst>
        </c:ser>
        <c:dLbls>
          <c:showLegendKey val="0"/>
          <c:showVal val="0"/>
          <c:showCatName val="0"/>
          <c:showSerName val="0"/>
          <c:showPercent val="0"/>
          <c:showBubbleSize val="0"/>
        </c:dLbls>
        <c:gapWidth val="267"/>
        <c:overlap val="-43"/>
        <c:axId val="1399717199"/>
        <c:axId val="1399702799"/>
      </c:barChart>
      <c:catAx>
        <c:axId val="1399717199"/>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a:solidFill>
                      <a:sysClr val="windowText" lastClr="000000"/>
                    </a:solidFill>
                  </a:rPr>
                  <a:t>Years</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99702799"/>
        <c:crosses val="autoZero"/>
        <c:auto val="1"/>
        <c:lblAlgn val="ctr"/>
        <c:lblOffset val="100"/>
        <c:noMultiLvlLbl val="0"/>
      </c:catAx>
      <c:valAx>
        <c:axId val="1399702799"/>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a:solidFill>
                      <a:sysClr val="windowText" lastClr="000000"/>
                    </a:solidFill>
                  </a:rPr>
                  <a:t>Revenue (£)</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9971719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ysClr val="windowText" lastClr="000000"/>
                </a:solidFill>
                <a:latin typeface="+mn-lt"/>
                <a:ea typeface="+mj-ea"/>
                <a:cs typeface="+mj-cs"/>
              </a:defRPr>
            </a:pPr>
            <a:r>
              <a:rPr lang="en-GB" sz="1600">
                <a:solidFill>
                  <a:sysClr val="windowText" lastClr="000000"/>
                </a:solidFill>
                <a:latin typeface="+mn-lt"/>
              </a:rPr>
              <a:t>Year-on-Year Sales Quantity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ysClr val="windowText" lastClr="000000"/>
              </a:solidFill>
              <a:latin typeface="+mn-lt"/>
              <a:ea typeface="+mj-ea"/>
              <a:cs typeface="+mj-cs"/>
            </a:defRPr>
          </a:pPr>
          <a:endParaRPr lang="en-US"/>
        </a:p>
      </c:txPr>
    </c:title>
    <c:autoTitleDeleted val="0"/>
    <c:plotArea>
      <c:layout/>
      <c:barChart>
        <c:barDir val="col"/>
        <c:grouping val="clustered"/>
        <c:varyColors val="0"/>
        <c:ser>
          <c:idx val="0"/>
          <c:order val="0"/>
          <c:tx>
            <c:strRef>
              <c:f>Tables_Charts!$S$29</c:f>
              <c:strCache>
                <c:ptCount val="1"/>
                <c:pt idx="0">
                  <c:v>Baby Food</c:v>
                </c:pt>
              </c:strCache>
            </c:strRef>
          </c:tx>
          <c:spPr>
            <a:solidFill>
              <a:schemeClr val="accent1"/>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Tables_Charts!$T$29:$AA$29</c:f>
              <c:numCache>
                <c:formatCode>_-* #,##0_-;\-* #,##0_-;_-* "-"??_-;_-@_-</c:formatCode>
                <c:ptCount val="8"/>
                <c:pt idx="0">
                  <c:v>9925</c:v>
                </c:pt>
                <c:pt idx="1">
                  <c:v>0</c:v>
                </c:pt>
                <c:pt idx="2">
                  <c:v>8614</c:v>
                </c:pt>
                <c:pt idx="3">
                  <c:v>4750</c:v>
                </c:pt>
                <c:pt idx="4">
                  <c:v>13009</c:v>
                </c:pt>
                <c:pt idx="5">
                  <c:v>4247</c:v>
                </c:pt>
                <c:pt idx="6">
                  <c:v>0</c:v>
                </c:pt>
                <c:pt idx="7">
                  <c:v>0</c:v>
                </c:pt>
              </c:numCache>
            </c:numRef>
          </c:val>
          <c:extLst>
            <c:ext xmlns:c16="http://schemas.microsoft.com/office/drawing/2014/chart" uri="{C3380CC4-5D6E-409C-BE32-E72D297353CC}">
              <c16:uniqueId val="{00000000-3AE0-42BC-BFCC-CAAE6BE22CE0}"/>
            </c:ext>
          </c:extLst>
        </c:ser>
        <c:ser>
          <c:idx val="1"/>
          <c:order val="1"/>
          <c:tx>
            <c:strRef>
              <c:f>Tables_Charts!$S$30</c:f>
              <c:strCache>
                <c:ptCount val="1"/>
                <c:pt idx="0">
                  <c:v>Cereal</c:v>
                </c:pt>
              </c:strCache>
            </c:strRef>
          </c:tx>
          <c:spPr>
            <a:solidFill>
              <a:schemeClr val="accent2"/>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Tables_Charts!$T$30:$AA$30</c:f>
              <c:numCache>
                <c:formatCode>_-* #,##0_-;\-* #,##0_-;_-* "-"??_-;_-@_-</c:formatCode>
                <c:ptCount val="8"/>
                <c:pt idx="0">
                  <c:v>0</c:v>
                </c:pt>
                <c:pt idx="1">
                  <c:v>0</c:v>
                </c:pt>
                <c:pt idx="2">
                  <c:v>4921</c:v>
                </c:pt>
                <c:pt idx="3">
                  <c:v>4745</c:v>
                </c:pt>
                <c:pt idx="4">
                  <c:v>6593</c:v>
                </c:pt>
                <c:pt idx="5">
                  <c:v>0</c:v>
                </c:pt>
                <c:pt idx="6">
                  <c:v>962</c:v>
                </c:pt>
                <c:pt idx="7">
                  <c:v>8656</c:v>
                </c:pt>
              </c:numCache>
            </c:numRef>
          </c:val>
          <c:extLst>
            <c:ext xmlns:c16="http://schemas.microsoft.com/office/drawing/2014/chart" uri="{C3380CC4-5D6E-409C-BE32-E72D297353CC}">
              <c16:uniqueId val="{00000001-3AE0-42BC-BFCC-CAAE6BE22CE0}"/>
            </c:ext>
          </c:extLst>
        </c:ser>
        <c:ser>
          <c:idx val="2"/>
          <c:order val="2"/>
          <c:tx>
            <c:strRef>
              <c:f>Tables_Charts!$S$31</c:f>
              <c:strCache>
                <c:ptCount val="1"/>
                <c:pt idx="0">
                  <c:v>Office Supplies</c:v>
                </c:pt>
              </c:strCache>
            </c:strRef>
          </c:tx>
          <c:spPr>
            <a:solidFill>
              <a:schemeClr val="accent3"/>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Tables_Charts!$T$31:$AA$31</c:f>
              <c:numCache>
                <c:formatCode>_-* #,##0_-;\-* #,##0_-;_-* "-"??_-;_-@_-</c:formatCode>
                <c:ptCount val="8"/>
                <c:pt idx="0">
                  <c:v>8287</c:v>
                </c:pt>
                <c:pt idx="1">
                  <c:v>8975</c:v>
                </c:pt>
                <c:pt idx="2">
                  <c:v>13982</c:v>
                </c:pt>
                <c:pt idx="3">
                  <c:v>10072</c:v>
                </c:pt>
                <c:pt idx="4">
                  <c:v>1779</c:v>
                </c:pt>
                <c:pt idx="5">
                  <c:v>2924</c:v>
                </c:pt>
                <c:pt idx="6">
                  <c:v>948</c:v>
                </c:pt>
                <c:pt idx="7">
                  <c:v>0</c:v>
                </c:pt>
              </c:numCache>
            </c:numRef>
          </c:val>
          <c:extLst>
            <c:ext xmlns:c16="http://schemas.microsoft.com/office/drawing/2014/chart" uri="{C3380CC4-5D6E-409C-BE32-E72D297353CC}">
              <c16:uniqueId val="{00000002-3AE0-42BC-BFCC-CAAE6BE22CE0}"/>
            </c:ext>
          </c:extLst>
        </c:ser>
        <c:ser>
          <c:idx val="3"/>
          <c:order val="3"/>
          <c:tx>
            <c:strRef>
              <c:f>Tables_Charts!$S$32</c:f>
              <c:strCache>
                <c:ptCount val="1"/>
                <c:pt idx="0">
                  <c:v>Fruits</c:v>
                </c:pt>
              </c:strCache>
            </c:strRef>
          </c:tx>
          <c:spPr>
            <a:solidFill>
              <a:schemeClr val="accent4"/>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Tables_Charts!$T$32:$AA$32</c:f>
              <c:numCache>
                <c:formatCode>_-* #,##0_-;\-* #,##0_-;_-* "-"??_-;_-@_-</c:formatCode>
                <c:ptCount val="8"/>
                <c:pt idx="0">
                  <c:v>5822</c:v>
                </c:pt>
                <c:pt idx="1">
                  <c:v>10051</c:v>
                </c:pt>
                <c:pt idx="2">
                  <c:v>522</c:v>
                </c:pt>
                <c:pt idx="3">
                  <c:v>17243</c:v>
                </c:pt>
                <c:pt idx="4">
                  <c:v>15687</c:v>
                </c:pt>
                <c:pt idx="5">
                  <c:v>673</c:v>
                </c:pt>
                <c:pt idx="6">
                  <c:v>0</c:v>
                </c:pt>
                <c:pt idx="7">
                  <c:v>0</c:v>
                </c:pt>
              </c:numCache>
            </c:numRef>
          </c:val>
          <c:extLst>
            <c:ext xmlns:c16="http://schemas.microsoft.com/office/drawing/2014/chart" uri="{C3380CC4-5D6E-409C-BE32-E72D297353CC}">
              <c16:uniqueId val="{00000003-3AE0-42BC-BFCC-CAAE6BE22CE0}"/>
            </c:ext>
          </c:extLst>
        </c:ser>
        <c:ser>
          <c:idx val="4"/>
          <c:order val="4"/>
          <c:tx>
            <c:strRef>
              <c:f>Tables_Charts!$S$33</c:f>
              <c:strCache>
                <c:ptCount val="1"/>
                <c:pt idx="0">
                  <c:v>Household</c:v>
                </c:pt>
              </c:strCache>
            </c:strRef>
          </c:tx>
          <c:spPr>
            <a:solidFill>
              <a:schemeClr val="accent5"/>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Tables_Charts!$T$33:$AA$33</c:f>
              <c:numCache>
                <c:formatCode>_-* #,##0_-;\-* #,##0_-;_-* "-"??_-;_-@_-</c:formatCode>
                <c:ptCount val="8"/>
                <c:pt idx="0">
                  <c:v>3830</c:v>
                </c:pt>
                <c:pt idx="1">
                  <c:v>4187</c:v>
                </c:pt>
                <c:pt idx="2">
                  <c:v>12532</c:v>
                </c:pt>
                <c:pt idx="3">
                  <c:v>0</c:v>
                </c:pt>
                <c:pt idx="4">
                  <c:v>6954</c:v>
                </c:pt>
                <c:pt idx="5">
                  <c:v>8250</c:v>
                </c:pt>
                <c:pt idx="6">
                  <c:v>0</c:v>
                </c:pt>
                <c:pt idx="7">
                  <c:v>8974</c:v>
                </c:pt>
              </c:numCache>
            </c:numRef>
          </c:val>
          <c:extLst>
            <c:ext xmlns:c16="http://schemas.microsoft.com/office/drawing/2014/chart" uri="{C3380CC4-5D6E-409C-BE32-E72D297353CC}">
              <c16:uniqueId val="{00000004-3AE0-42BC-BFCC-CAAE6BE22CE0}"/>
            </c:ext>
          </c:extLst>
        </c:ser>
        <c:ser>
          <c:idx val="5"/>
          <c:order val="5"/>
          <c:tx>
            <c:strRef>
              <c:f>Tables_Charts!$S$34</c:f>
              <c:strCache>
                <c:ptCount val="1"/>
                <c:pt idx="0">
                  <c:v>Vegetables</c:v>
                </c:pt>
              </c:strCache>
            </c:strRef>
          </c:tx>
          <c:spPr>
            <a:solidFill>
              <a:schemeClr val="accent6"/>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Tables_Charts!$T$34:$AA$34</c:f>
              <c:numCache>
                <c:formatCode>_-* #,##0_-;\-* #,##0_-;_-* "-"??_-;_-@_-</c:formatCode>
                <c:ptCount val="8"/>
                <c:pt idx="0">
                  <c:v>0</c:v>
                </c:pt>
                <c:pt idx="1">
                  <c:v>3856</c:v>
                </c:pt>
                <c:pt idx="2">
                  <c:v>14710</c:v>
                </c:pt>
                <c:pt idx="3">
                  <c:v>0</c:v>
                </c:pt>
                <c:pt idx="4">
                  <c:v>0</c:v>
                </c:pt>
                <c:pt idx="5">
                  <c:v>0</c:v>
                </c:pt>
                <c:pt idx="6">
                  <c:v>1485</c:v>
                </c:pt>
                <c:pt idx="7">
                  <c:v>0</c:v>
                </c:pt>
              </c:numCache>
            </c:numRef>
          </c:val>
          <c:extLst>
            <c:ext xmlns:c16="http://schemas.microsoft.com/office/drawing/2014/chart" uri="{C3380CC4-5D6E-409C-BE32-E72D297353CC}">
              <c16:uniqueId val="{00000005-3AE0-42BC-BFCC-CAAE6BE22CE0}"/>
            </c:ext>
          </c:extLst>
        </c:ser>
        <c:ser>
          <c:idx val="6"/>
          <c:order val="6"/>
          <c:tx>
            <c:strRef>
              <c:f>Tables_Charts!$S$35</c:f>
              <c:strCache>
                <c:ptCount val="1"/>
                <c:pt idx="0">
                  <c:v>Personal Care</c:v>
                </c:pt>
              </c:strCache>
            </c:strRef>
          </c:tx>
          <c:spPr>
            <a:solidFill>
              <a:schemeClr val="accent1">
                <a:lumMod val="60000"/>
              </a:schemeClr>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Tables_Charts!$T$35:$AA$35</c:f>
              <c:numCache>
                <c:formatCode>_-* #,##0_-;\-* #,##0_-;_-* "-"??_-;_-@_-</c:formatCode>
                <c:ptCount val="8"/>
                <c:pt idx="0">
                  <c:v>273</c:v>
                </c:pt>
                <c:pt idx="1">
                  <c:v>0</c:v>
                </c:pt>
                <c:pt idx="2">
                  <c:v>15078</c:v>
                </c:pt>
                <c:pt idx="3">
                  <c:v>2125</c:v>
                </c:pt>
                <c:pt idx="4">
                  <c:v>4901</c:v>
                </c:pt>
                <c:pt idx="5">
                  <c:v>11837</c:v>
                </c:pt>
                <c:pt idx="6">
                  <c:v>5070</c:v>
                </c:pt>
                <c:pt idx="7">
                  <c:v>9424</c:v>
                </c:pt>
              </c:numCache>
            </c:numRef>
          </c:val>
          <c:extLst>
            <c:ext xmlns:c16="http://schemas.microsoft.com/office/drawing/2014/chart" uri="{C3380CC4-5D6E-409C-BE32-E72D297353CC}">
              <c16:uniqueId val="{00000006-3AE0-42BC-BFCC-CAAE6BE22CE0}"/>
            </c:ext>
          </c:extLst>
        </c:ser>
        <c:ser>
          <c:idx val="7"/>
          <c:order val="7"/>
          <c:tx>
            <c:strRef>
              <c:f>Tables_Charts!$S$36</c:f>
              <c:strCache>
                <c:ptCount val="1"/>
                <c:pt idx="0">
                  <c:v>Clothes</c:v>
                </c:pt>
              </c:strCache>
            </c:strRef>
          </c:tx>
          <c:spPr>
            <a:solidFill>
              <a:schemeClr val="accent2">
                <a:lumMod val="60000"/>
              </a:schemeClr>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Tables_Charts!$T$36:$AA$36</c:f>
              <c:numCache>
                <c:formatCode>_-* #,##0_-;\-* #,##0_-;_-* "-"??_-;_-@_-</c:formatCode>
                <c:ptCount val="8"/>
                <c:pt idx="0">
                  <c:v>18290</c:v>
                </c:pt>
                <c:pt idx="1">
                  <c:v>888</c:v>
                </c:pt>
                <c:pt idx="2">
                  <c:v>13039</c:v>
                </c:pt>
                <c:pt idx="3">
                  <c:v>0</c:v>
                </c:pt>
                <c:pt idx="4">
                  <c:v>12010</c:v>
                </c:pt>
                <c:pt idx="5">
                  <c:v>13272</c:v>
                </c:pt>
                <c:pt idx="6">
                  <c:v>5498</c:v>
                </c:pt>
                <c:pt idx="7">
                  <c:v>8263</c:v>
                </c:pt>
              </c:numCache>
            </c:numRef>
          </c:val>
          <c:extLst>
            <c:ext xmlns:c16="http://schemas.microsoft.com/office/drawing/2014/chart" uri="{C3380CC4-5D6E-409C-BE32-E72D297353CC}">
              <c16:uniqueId val="{00000007-3AE0-42BC-BFCC-CAAE6BE22CE0}"/>
            </c:ext>
          </c:extLst>
        </c:ser>
        <c:ser>
          <c:idx val="8"/>
          <c:order val="8"/>
          <c:tx>
            <c:strRef>
              <c:f>Tables_Charts!$S$37</c:f>
              <c:strCache>
                <c:ptCount val="1"/>
                <c:pt idx="0">
                  <c:v>Cosmetics</c:v>
                </c:pt>
              </c:strCache>
            </c:strRef>
          </c:tx>
          <c:spPr>
            <a:solidFill>
              <a:schemeClr val="accent3">
                <a:lumMod val="60000"/>
              </a:schemeClr>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Tables_Charts!$T$37:$AA$37</c:f>
              <c:numCache>
                <c:formatCode>_-* #,##0_-;\-* #,##0_-;_-* "-"??_-;_-@_-</c:formatCode>
                <c:ptCount val="8"/>
                <c:pt idx="0">
                  <c:v>15144</c:v>
                </c:pt>
                <c:pt idx="1">
                  <c:v>0</c:v>
                </c:pt>
                <c:pt idx="2">
                  <c:v>8661</c:v>
                </c:pt>
                <c:pt idx="3">
                  <c:v>25728</c:v>
                </c:pt>
                <c:pt idx="4">
                  <c:v>7215</c:v>
                </c:pt>
                <c:pt idx="5">
                  <c:v>2847</c:v>
                </c:pt>
                <c:pt idx="6">
                  <c:v>22308</c:v>
                </c:pt>
                <c:pt idx="7">
                  <c:v>1815</c:v>
                </c:pt>
              </c:numCache>
            </c:numRef>
          </c:val>
          <c:extLst>
            <c:ext xmlns:c16="http://schemas.microsoft.com/office/drawing/2014/chart" uri="{C3380CC4-5D6E-409C-BE32-E72D297353CC}">
              <c16:uniqueId val="{0000001C-3AE0-42BC-BFCC-CAAE6BE22CE0}"/>
            </c:ext>
          </c:extLst>
        </c:ser>
        <c:ser>
          <c:idx val="9"/>
          <c:order val="9"/>
          <c:tx>
            <c:strRef>
              <c:f>Tables_Charts!$S$38</c:f>
              <c:strCache>
                <c:ptCount val="1"/>
                <c:pt idx="0">
                  <c:v>Beverages</c:v>
                </c:pt>
              </c:strCache>
            </c:strRef>
          </c:tx>
          <c:spPr>
            <a:solidFill>
              <a:schemeClr val="accent4">
                <a:lumMod val="60000"/>
              </a:schemeClr>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Tables_Charts!$T$38:$AA$38</c:f>
              <c:numCache>
                <c:formatCode>_-* #,##0_-;\-* #,##0_-;_-* "-"??_-;_-@_-</c:formatCode>
                <c:ptCount val="8"/>
                <c:pt idx="0">
                  <c:v>0</c:v>
                </c:pt>
                <c:pt idx="1">
                  <c:v>22726</c:v>
                </c:pt>
                <c:pt idx="2">
                  <c:v>0</c:v>
                </c:pt>
                <c:pt idx="3">
                  <c:v>0</c:v>
                </c:pt>
                <c:pt idx="4">
                  <c:v>23892</c:v>
                </c:pt>
                <c:pt idx="5">
                  <c:v>5430</c:v>
                </c:pt>
                <c:pt idx="6">
                  <c:v>4660</c:v>
                </c:pt>
                <c:pt idx="7">
                  <c:v>0</c:v>
                </c:pt>
              </c:numCache>
            </c:numRef>
          </c:val>
          <c:extLst>
            <c:ext xmlns:c16="http://schemas.microsoft.com/office/drawing/2014/chart" uri="{C3380CC4-5D6E-409C-BE32-E72D297353CC}">
              <c16:uniqueId val="{0000001D-3AE0-42BC-BFCC-CAAE6BE22CE0}"/>
            </c:ext>
          </c:extLst>
        </c:ser>
        <c:ser>
          <c:idx val="10"/>
          <c:order val="10"/>
          <c:tx>
            <c:strRef>
              <c:f>Tables_Charts!$S$39</c:f>
              <c:strCache>
                <c:ptCount val="1"/>
                <c:pt idx="0">
                  <c:v>Meat</c:v>
                </c:pt>
              </c:strCache>
            </c:strRef>
          </c:tx>
          <c:spPr>
            <a:solidFill>
              <a:schemeClr val="accent5">
                <a:lumMod val="60000"/>
              </a:schemeClr>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Tables_Charts!$T$39:$AA$39</c:f>
              <c:numCache>
                <c:formatCode>_-* #,##0_-;\-* #,##0_-;_-* "-"??_-;_-@_-</c:formatCode>
                <c:ptCount val="8"/>
                <c:pt idx="0">
                  <c:v>0</c:v>
                </c:pt>
                <c:pt idx="1">
                  <c:v>0</c:v>
                </c:pt>
                <c:pt idx="2">
                  <c:v>5908</c:v>
                </c:pt>
                <c:pt idx="3">
                  <c:v>0</c:v>
                </c:pt>
                <c:pt idx="4">
                  <c:v>0</c:v>
                </c:pt>
                <c:pt idx="5">
                  <c:v>0</c:v>
                </c:pt>
                <c:pt idx="6">
                  <c:v>0</c:v>
                </c:pt>
                <c:pt idx="7">
                  <c:v>4767</c:v>
                </c:pt>
              </c:numCache>
            </c:numRef>
          </c:val>
          <c:extLst>
            <c:ext xmlns:c16="http://schemas.microsoft.com/office/drawing/2014/chart" uri="{C3380CC4-5D6E-409C-BE32-E72D297353CC}">
              <c16:uniqueId val="{0000001E-3AE0-42BC-BFCC-CAAE6BE22CE0}"/>
            </c:ext>
          </c:extLst>
        </c:ser>
        <c:ser>
          <c:idx val="11"/>
          <c:order val="11"/>
          <c:tx>
            <c:strRef>
              <c:f>Tables_Charts!$S$40</c:f>
              <c:strCache>
                <c:ptCount val="1"/>
                <c:pt idx="0">
                  <c:v>Snacks</c:v>
                </c:pt>
              </c:strCache>
            </c:strRef>
          </c:tx>
          <c:spPr>
            <a:solidFill>
              <a:schemeClr val="accent6">
                <a:lumMod val="60000"/>
              </a:schemeClr>
            </a:solidFill>
            <a:ln>
              <a:noFill/>
            </a:ln>
            <a:effectLst/>
          </c:spPr>
          <c:invertIfNegative val="0"/>
          <c:cat>
            <c:numRef>
              <c:f>Tables_Charts!$T$28:$AA$28</c:f>
              <c:numCache>
                <c:formatCode>@</c:formatCode>
                <c:ptCount val="8"/>
                <c:pt idx="0">
                  <c:v>2010</c:v>
                </c:pt>
                <c:pt idx="1">
                  <c:v>2011</c:v>
                </c:pt>
                <c:pt idx="2">
                  <c:v>2012</c:v>
                </c:pt>
                <c:pt idx="3">
                  <c:v>2013</c:v>
                </c:pt>
                <c:pt idx="4">
                  <c:v>2014</c:v>
                </c:pt>
                <c:pt idx="5">
                  <c:v>2015</c:v>
                </c:pt>
                <c:pt idx="6">
                  <c:v>2016</c:v>
                </c:pt>
                <c:pt idx="7">
                  <c:v>2017</c:v>
                </c:pt>
              </c:numCache>
            </c:numRef>
          </c:cat>
          <c:val>
            <c:numRef>
              <c:f>Tables_Charts!$T$40:$AA$40</c:f>
              <c:numCache>
                <c:formatCode>_-* #,##0_-;\-* #,##0_-;_-* "-"??_-;_-@_-</c:formatCode>
                <c:ptCount val="8"/>
                <c:pt idx="0">
                  <c:v>0</c:v>
                </c:pt>
                <c:pt idx="1">
                  <c:v>4085</c:v>
                </c:pt>
                <c:pt idx="2">
                  <c:v>0</c:v>
                </c:pt>
                <c:pt idx="3">
                  <c:v>0</c:v>
                </c:pt>
                <c:pt idx="4">
                  <c:v>0</c:v>
                </c:pt>
                <c:pt idx="5">
                  <c:v>0</c:v>
                </c:pt>
                <c:pt idx="6">
                  <c:v>2225</c:v>
                </c:pt>
                <c:pt idx="7">
                  <c:v>7327</c:v>
                </c:pt>
              </c:numCache>
            </c:numRef>
          </c:val>
          <c:extLst>
            <c:ext xmlns:c16="http://schemas.microsoft.com/office/drawing/2014/chart" uri="{C3380CC4-5D6E-409C-BE32-E72D297353CC}">
              <c16:uniqueId val="{0000001F-3AE0-42BC-BFCC-CAAE6BE22CE0}"/>
            </c:ext>
          </c:extLst>
        </c:ser>
        <c:dLbls>
          <c:showLegendKey val="0"/>
          <c:showVal val="0"/>
          <c:showCatName val="0"/>
          <c:showSerName val="0"/>
          <c:showPercent val="0"/>
          <c:showBubbleSize val="0"/>
        </c:dLbls>
        <c:gapWidth val="150"/>
        <c:axId val="1286479775"/>
        <c:axId val="1286486975"/>
      </c:barChart>
      <c:catAx>
        <c:axId val="1286479775"/>
        <c:scaling>
          <c:orientation val="minMax"/>
        </c:scaling>
        <c:delete val="0"/>
        <c:axPos val="b"/>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GB" sz="1400">
                    <a:solidFill>
                      <a:sysClr val="windowText" lastClr="000000"/>
                    </a:solidFill>
                  </a:rPr>
                  <a:t>Years</a:t>
                </a:r>
              </a:p>
            </c:rich>
          </c:tx>
          <c:layout>
            <c:manualLayout>
              <c:xMode val="edge"/>
              <c:yMode val="edge"/>
              <c:x val="0.44796814743073204"/>
              <c:y val="0.88895538057742784"/>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86486975"/>
        <c:crosses val="autoZero"/>
        <c:auto val="1"/>
        <c:lblAlgn val="ctr"/>
        <c:lblOffset val="100"/>
        <c:noMultiLvlLbl val="0"/>
      </c:catAx>
      <c:valAx>
        <c:axId val="128648697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GB" sz="1400" b="1">
                    <a:solidFill>
                      <a:sysClr val="windowText" lastClr="000000"/>
                    </a:solidFill>
                  </a:rPr>
                  <a:t>Quantity sold</a:t>
                </a:r>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8647977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Revenue Per Region</a:t>
            </a:r>
          </a:p>
        </c:rich>
      </c:tx>
      <c:layout>
        <c:manualLayout>
          <c:xMode val="edge"/>
          <c:yMode val="edge"/>
          <c:x val="0.32504003300411594"/>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6524484045647878"/>
          <c:w val="0.62415365605072559"/>
          <c:h val="0.68420212003725789"/>
        </c:manualLayout>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ADB-42E8-B501-28B7A743996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ADB-42E8-B501-28B7A743996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CADB-42E8-B501-28B7A743996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CADB-42E8-B501-28B7A743996F}"/>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CADB-42E8-B501-28B7A743996F}"/>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ADB-42E8-B501-28B7A743996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CADB-42E8-B501-28B7A743996F}"/>
              </c:ext>
            </c:extLst>
          </c:dPt>
          <c:dLbls>
            <c:dLbl>
              <c:idx val="0"/>
              <c:layout>
                <c:manualLayout>
                  <c:x val="3.3703126389565102E-2"/>
                  <c:y val="4.97166084783666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ADB-42E8-B501-28B7A743996F}"/>
                </c:ext>
              </c:extLst>
            </c:dLbl>
            <c:dLbl>
              <c:idx val="1"/>
              <c:layout>
                <c:manualLayout>
                  <c:x val="3.8459710608463017E-2"/>
                  <c:y val="-6.26582348250736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DB-42E8-B501-28B7A743996F}"/>
                </c:ext>
              </c:extLst>
            </c:dLbl>
            <c:dLbl>
              <c:idx val="2"/>
              <c:layout>
                <c:manualLayout>
                  <c:x val="9.9741146814478678E-3"/>
                  <c:y val="9.752750785957593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ADB-42E8-B501-28B7A743996F}"/>
                </c:ext>
              </c:extLst>
            </c:dLbl>
            <c:dLbl>
              <c:idx val="3"/>
              <c:layout>
                <c:manualLayout>
                  <c:x val="1.2929468153830169E-2"/>
                  <c:y val="-9.7112809914535483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ADB-42E8-B501-28B7A743996F}"/>
                </c:ext>
              </c:extLst>
            </c:dLbl>
            <c:dLbl>
              <c:idx val="4"/>
              <c:layout>
                <c:manualLayout>
                  <c:x val="-1.8505698835838306E-2"/>
                  <c:y val="-6.443566171356340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ADB-42E8-B501-28B7A743996F}"/>
                </c:ext>
              </c:extLst>
            </c:dLbl>
            <c:dLbl>
              <c:idx val="5"/>
              <c:layout>
                <c:manualLayout>
                  <c:x val="-2.6050297929626265E-2"/>
                  <c:y val="-0.2057227266547366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DB-42E8-B501-28B7A743996F}"/>
                </c:ext>
              </c:extLst>
            </c:dLbl>
            <c:dLbl>
              <c:idx val="6"/>
              <c:layout>
                <c:manualLayout>
                  <c:x val="3.2184711850777675E-2"/>
                  <c:y val="-0.1276461272198807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ADB-42E8-B501-28B7A743996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Tables_Charts!$S$45:$S$51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Tables_Charts!$T$45:$T$51</c:f>
              <c:numCache>
                <c:formatCode>_(* #,##0.00_);_(* \(#,##0.00\);_(* "-"??_);_(@_)</c:formatCode>
                <c:ptCount val="7"/>
                <c:pt idx="0">
                  <c:v>21347091.020000003</c:v>
                </c:pt>
                <c:pt idx="1">
                  <c:v>14094265.130000003</c:v>
                </c:pt>
                <c:pt idx="2">
                  <c:v>9170385.4900000002</c:v>
                </c:pt>
                <c:pt idx="3">
                  <c:v>33368932.109999999</c:v>
                </c:pt>
                <c:pt idx="4">
                  <c:v>14052706.58</c:v>
                </c:pt>
                <c:pt idx="5">
                  <c:v>5643356.5500000007</c:v>
                </c:pt>
                <c:pt idx="6">
                  <c:v>39672031.430000007</c:v>
                </c:pt>
              </c:numCache>
            </c:numRef>
          </c:val>
          <c:extLst>
            <c:ext xmlns:c16="http://schemas.microsoft.com/office/drawing/2014/chart" uri="{C3380CC4-5D6E-409C-BE32-E72D297353CC}">
              <c16:uniqueId val="{00000000-CADB-42E8-B501-28B7A743996F}"/>
            </c:ext>
          </c:extLst>
        </c:ser>
        <c:ser>
          <c:idx val="1"/>
          <c:order val="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2D90-44A5-9A72-700ADAB5140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2D90-44A5-9A72-700ADAB5140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2D90-44A5-9A72-700ADAB5140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2D90-44A5-9A72-700ADAB5140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2D90-44A5-9A72-700ADAB5140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2D90-44A5-9A72-700ADAB5140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2D90-44A5-9A72-700ADAB5140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Tables_Charts!$S$45:$S$51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Tables_Charts!$U$45:$U$51</c:f>
              <c:numCache>
                <c:formatCode>0.00</c:formatCode>
                <c:ptCount val="7"/>
                <c:pt idx="0">
                  <c:v>15.542251512455522</c:v>
                </c:pt>
                <c:pt idx="1">
                  <c:v>10.261661100730699</c:v>
                </c:pt>
                <c:pt idx="2">
                  <c:v>6.6767147625977863</c:v>
                </c:pt>
                <c:pt idx="3">
                  <c:v>24.295035565725197</c:v>
                </c:pt>
                <c:pt idx="4">
                  <c:v>10.231403421312558</c:v>
                </c:pt>
                <c:pt idx="5">
                  <c:v>4.1087784182110658</c:v>
                </c:pt>
                <c:pt idx="6">
                  <c:v>28.884155218967184</c:v>
                </c:pt>
              </c:numCache>
            </c:numRef>
          </c:val>
          <c:extLst>
            <c:ext xmlns:c16="http://schemas.microsoft.com/office/drawing/2014/chart" uri="{C3380CC4-5D6E-409C-BE32-E72D297353CC}">
              <c16:uniqueId val="{00000001-CADB-42E8-B501-28B7A743996F}"/>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69288223378841463"/>
          <c:y val="0.23101621900640662"/>
          <c:w val="0.29337206422381612"/>
          <c:h val="0.7291714157813669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1" i="0" u="none" strike="noStrike" kern="1200" cap="none" spc="50" baseline="0">
                <a:solidFill>
                  <a:sysClr val="windowText" lastClr="000000"/>
                </a:solidFill>
                <a:latin typeface="+mn-lt"/>
                <a:ea typeface="+mn-ea"/>
                <a:cs typeface="+mn-cs"/>
              </a:defRPr>
            </a:pPr>
            <a:r>
              <a:rPr lang="en-GB" sz="1200" b="1">
                <a:solidFill>
                  <a:sysClr val="windowText" lastClr="000000"/>
                </a:solidFill>
              </a:rPr>
              <a:t>Gross Profit Margin Per Item Type </a:t>
            </a:r>
          </a:p>
        </c:rich>
      </c:tx>
      <c:overlay val="0"/>
      <c:spPr>
        <a:noFill/>
        <a:ln>
          <a:noFill/>
        </a:ln>
        <a:effectLst/>
      </c:spPr>
      <c:txPr>
        <a:bodyPr rot="0" spcFirstLastPara="1" vertOverflow="ellipsis" vert="horz" wrap="square" anchor="ctr" anchorCtr="1"/>
        <a:lstStyle/>
        <a:p>
          <a:pPr>
            <a:defRPr sz="1200" b="1" i="0" u="none" strike="noStrike" kern="1200" cap="none" spc="50" baseline="0">
              <a:solidFill>
                <a:sysClr val="windowText" lastClr="000000"/>
              </a:solidFill>
              <a:latin typeface="+mn-lt"/>
              <a:ea typeface="+mn-ea"/>
              <a:cs typeface="+mn-cs"/>
            </a:defRPr>
          </a:pPr>
          <a:endParaRPr lang="en-US"/>
        </a:p>
      </c:txPr>
    </c:title>
    <c:autoTitleDeleted val="0"/>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611840895866212E-2"/>
          <c:y val="0.28918687839605334"/>
          <c:w val="0.91407413652871705"/>
          <c:h val="0.33018934506096442"/>
        </c:manualLayout>
      </c:layout>
      <c:bar3DChart>
        <c:barDir val="col"/>
        <c:grouping val="clustered"/>
        <c:varyColors val="0"/>
        <c:ser>
          <c:idx val="2"/>
          <c:order val="2"/>
          <c:tx>
            <c:v>Item Types</c:v>
          </c:tx>
          <c:spPr>
            <a:solidFill>
              <a:schemeClr val="accent1">
                <a:tint val="65000"/>
              </a:schemeClr>
            </a:solidFill>
            <a:ln>
              <a:solidFill>
                <a:schemeClr val="accent1">
                  <a:tint val="65000"/>
                  <a:lumMod val="75000"/>
                </a:schemeClr>
              </a:solidFill>
            </a:ln>
            <a:effectLst/>
            <a:scene3d>
              <a:camera prst="orthographicFront"/>
              <a:lightRig rig="threePt" dir="t"/>
            </a:scene3d>
            <a:sp3d prstMaterial="translucentPowder">
              <a:contourClr>
                <a:schemeClr val="accent1">
                  <a:tint val="65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Tables_Charts!$S$56:$S$67</c:f>
              <c:strCache>
                <c:ptCount val="12"/>
                <c:pt idx="0">
                  <c:v>Baby Food</c:v>
                </c:pt>
                <c:pt idx="1">
                  <c:v>Cereal</c:v>
                </c:pt>
                <c:pt idx="2">
                  <c:v>Office Supplies</c:v>
                </c:pt>
                <c:pt idx="3">
                  <c:v>Fruits</c:v>
                </c:pt>
                <c:pt idx="4">
                  <c:v>Household</c:v>
                </c:pt>
                <c:pt idx="5">
                  <c:v>Vegetables</c:v>
                </c:pt>
                <c:pt idx="6">
                  <c:v>Personal Care</c:v>
                </c:pt>
                <c:pt idx="7">
                  <c:v>Clothes</c:v>
                </c:pt>
                <c:pt idx="8">
                  <c:v>Cosmetics</c:v>
                </c:pt>
                <c:pt idx="9">
                  <c:v>Beverages</c:v>
                </c:pt>
                <c:pt idx="10">
                  <c:v>Meat</c:v>
                </c:pt>
                <c:pt idx="11">
                  <c:v>Snacks</c:v>
                </c:pt>
              </c:strCache>
            </c:strRef>
          </c:cat>
          <c:val>
            <c:numRef>
              <c:f>Tables_Charts!$V$56:$V$67</c:f>
              <c:numCache>
                <c:formatCode>0</c:formatCode>
                <c:ptCount val="12"/>
                <c:pt idx="0">
                  <c:v>37.550924475086184</c:v>
                </c:pt>
                <c:pt idx="1">
                  <c:v>43.067574137092848</c:v>
                </c:pt>
                <c:pt idx="2">
                  <c:v>19.386987300563565</c:v>
                </c:pt>
                <c:pt idx="3">
                  <c:v>25.830653804930332</c:v>
                </c:pt>
                <c:pt idx="4">
                  <c:v>24.799856345489104</c:v>
                </c:pt>
                <c:pt idx="5">
                  <c:v>40.97754121770739</c:v>
                </c:pt>
                <c:pt idx="6">
                  <c:v>30.661935641747213</c:v>
                </c:pt>
                <c:pt idx="7">
                  <c:v>67.203513909224029</c:v>
                </c:pt>
                <c:pt idx="8">
                  <c:v>39.768984446477582</c:v>
                </c:pt>
                <c:pt idx="9">
                  <c:v>33.003161222339301</c:v>
                </c:pt>
                <c:pt idx="10">
                  <c:v>13.558036455000119</c:v>
                </c:pt>
                <c:pt idx="11">
                  <c:v>36.138419189933153</c:v>
                </c:pt>
              </c:numCache>
            </c:numRef>
          </c:val>
          <c:shape val="pyramid"/>
          <c:extLst>
            <c:ext xmlns:c16="http://schemas.microsoft.com/office/drawing/2014/chart" uri="{C3380CC4-5D6E-409C-BE32-E72D297353CC}">
              <c16:uniqueId val="{00000002-2292-4693-B047-206980981D5F}"/>
            </c:ext>
          </c:extLst>
        </c:ser>
        <c:dLbls>
          <c:showLegendKey val="0"/>
          <c:showVal val="1"/>
          <c:showCatName val="0"/>
          <c:showSerName val="0"/>
          <c:showPercent val="0"/>
          <c:showBubbleSize val="0"/>
        </c:dLbls>
        <c:gapWidth val="150"/>
        <c:shape val="box"/>
        <c:axId val="1693905951"/>
        <c:axId val="1693906911"/>
        <c:axId val="0"/>
        <c:extLst>
          <c:ext xmlns:c15="http://schemas.microsoft.com/office/drawing/2012/chart" uri="{02D57815-91ED-43cb-92C2-25804820EDAC}">
            <c15:filteredBarSeries>
              <c15:ser>
                <c:idx val="0"/>
                <c:order val="0"/>
                <c:spPr>
                  <a:solidFill>
                    <a:schemeClr val="accent1">
                      <a:shade val="65000"/>
                    </a:schemeClr>
                  </a:solidFill>
                  <a:ln>
                    <a:solidFill>
                      <a:schemeClr val="accent1">
                        <a:shade val="65000"/>
                        <a:lumMod val="75000"/>
                      </a:schemeClr>
                    </a:solidFill>
                  </a:ln>
                  <a:effectLst/>
                  <a:scene3d>
                    <a:camera prst="orthographicFront"/>
                    <a:lightRig rig="threePt" dir="t"/>
                  </a:scene3d>
                  <a:sp3d prstMaterial="translucentPowder">
                    <a:contourClr>
                      <a:schemeClr val="accent1">
                        <a:shade val="65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Tables_Charts!$S$56:$S$67</c15:sqref>
                        </c15:formulaRef>
                      </c:ext>
                    </c:extLst>
                    <c:strCache>
                      <c:ptCount val="12"/>
                      <c:pt idx="0">
                        <c:v>Baby Food</c:v>
                      </c:pt>
                      <c:pt idx="1">
                        <c:v>Cereal</c:v>
                      </c:pt>
                      <c:pt idx="2">
                        <c:v>Office Supplies</c:v>
                      </c:pt>
                      <c:pt idx="3">
                        <c:v>Fruits</c:v>
                      </c:pt>
                      <c:pt idx="4">
                        <c:v>Household</c:v>
                      </c:pt>
                      <c:pt idx="5">
                        <c:v>Vegetables</c:v>
                      </c:pt>
                      <c:pt idx="6">
                        <c:v>Personal Care</c:v>
                      </c:pt>
                      <c:pt idx="7">
                        <c:v>Clothes</c:v>
                      </c:pt>
                      <c:pt idx="8">
                        <c:v>Cosmetics</c:v>
                      </c:pt>
                      <c:pt idx="9">
                        <c:v>Beverages</c:v>
                      </c:pt>
                      <c:pt idx="10">
                        <c:v>Meat</c:v>
                      </c:pt>
                      <c:pt idx="11">
                        <c:v>Snacks</c:v>
                      </c:pt>
                    </c:strCache>
                  </c:strRef>
                </c:cat>
                <c:val>
                  <c:numRef>
                    <c:extLst>
                      <c:ext uri="{02D57815-91ED-43cb-92C2-25804820EDAC}">
                        <c15:formulaRef>
                          <c15:sqref>Tables_Charts!$T$56:$T$67</c15:sqref>
                        </c15:formulaRef>
                      </c:ext>
                    </c:extLst>
                    <c:numCache>
                      <c:formatCode>_(* #,##0.00_);_(* \(#,##0.00\);_(* "-"??_);_(@_)</c:formatCode>
                      <c:ptCount val="12"/>
                      <c:pt idx="0">
                        <c:v>10350327.6</c:v>
                      </c:pt>
                      <c:pt idx="1">
                        <c:v>5322898.9000000004</c:v>
                      </c:pt>
                      <c:pt idx="2">
                        <c:v>30585380.07</c:v>
                      </c:pt>
                      <c:pt idx="3">
                        <c:v>466481.34</c:v>
                      </c:pt>
                      <c:pt idx="4">
                        <c:v>29889712.289999995</c:v>
                      </c:pt>
                      <c:pt idx="5">
                        <c:v>3089057.06</c:v>
                      </c:pt>
                      <c:pt idx="6">
                        <c:v>3980904.8400000003</c:v>
                      </c:pt>
                      <c:pt idx="7">
                        <c:v>7787292.799999998</c:v>
                      </c:pt>
                      <c:pt idx="8">
                        <c:v>36601509.600000001</c:v>
                      </c:pt>
                      <c:pt idx="9">
                        <c:v>2690794.6</c:v>
                      </c:pt>
                      <c:pt idx="10">
                        <c:v>4503675.75</c:v>
                      </c:pt>
                      <c:pt idx="11">
                        <c:v>2080733.46</c:v>
                      </c:pt>
                    </c:numCache>
                  </c:numRef>
                </c:val>
                <c:extLst>
                  <c:ext xmlns:c16="http://schemas.microsoft.com/office/drawing/2014/chart" uri="{C3380CC4-5D6E-409C-BE32-E72D297353CC}">
                    <c16:uniqueId val="{00000000-2292-4693-B047-206980981D5F}"/>
                  </c:ext>
                </c:extLst>
              </c15:ser>
            </c15:filteredBarSeries>
            <c15:filteredBarSeries>
              <c15:ser>
                <c:idx val="1"/>
                <c:order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Tables_Charts!$S$56:$S$67</c15:sqref>
                        </c15:formulaRef>
                      </c:ext>
                    </c:extLst>
                    <c:strCache>
                      <c:ptCount val="12"/>
                      <c:pt idx="0">
                        <c:v>Baby Food</c:v>
                      </c:pt>
                      <c:pt idx="1">
                        <c:v>Cereal</c:v>
                      </c:pt>
                      <c:pt idx="2">
                        <c:v>Office Supplies</c:v>
                      </c:pt>
                      <c:pt idx="3">
                        <c:v>Fruits</c:v>
                      </c:pt>
                      <c:pt idx="4">
                        <c:v>Household</c:v>
                      </c:pt>
                      <c:pt idx="5">
                        <c:v>Vegetables</c:v>
                      </c:pt>
                      <c:pt idx="6">
                        <c:v>Personal Care</c:v>
                      </c:pt>
                      <c:pt idx="7">
                        <c:v>Clothes</c:v>
                      </c:pt>
                      <c:pt idx="8">
                        <c:v>Cosmetics</c:v>
                      </c:pt>
                      <c:pt idx="9">
                        <c:v>Beverages</c:v>
                      </c:pt>
                      <c:pt idx="10">
                        <c:v>Meat</c:v>
                      </c:pt>
                      <c:pt idx="11">
                        <c:v>Snacks</c:v>
                      </c:pt>
                    </c:strCache>
                  </c:strRef>
                </c:cat>
                <c:val>
                  <c:numRef>
                    <c:extLst xmlns:c15="http://schemas.microsoft.com/office/drawing/2012/chart">
                      <c:ext xmlns:c15="http://schemas.microsoft.com/office/drawing/2012/chart" uri="{02D57815-91ED-43cb-92C2-25804820EDAC}">
                        <c15:formulaRef>
                          <c15:sqref>Tables_Charts!$U$56:$U$67</c15:sqref>
                        </c15:formulaRef>
                      </c:ext>
                    </c:extLst>
                    <c:numCache>
                      <c:formatCode>_(* #,##0.00_);_(* \(#,##0.00\);_(* "-"??_);_(@_)</c:formatCode>
                      <c:ptCount val="12"/>
                      <c:pt idx="0">
                        <c:v>3886643.7</c:v>
                      </c:pt>
                      <c:pt idx="1">
                        <c:v>2292443.4299999997</c:v>
                      </c:pt>
                      <c:pt idx="2">
                        <c:v>5929583.75</c:v>
                      </c:pt>
                      <c:pt idx="3">
                        <c:v>120495.18</c:v>
                      </c:pt>
                      <c:pt idx="4">
                        <c:v>7412605.7100000009</c:v>
                      </c:pt>
                      <c:pt idx="5">
                        <c:v>1265819.6300000001</c:v>
                      </c:pt>
                      <c:pt idx="6">
                        <c:v>1220622.48</c:v>
                      </c:pt>
                      <c:pt idx="7">
                        <c:v>5233334.4000000004</c:v>
                      </c:pt>
                      <c:pt idx="8">
                        <c:v>14556048.66</c:v>
                      </c:pt>
                      <c:pt idx="9">
                        <c:v>888047.27999999991</c:v>
                      </c:pt>
                      <c:pt idx="10">
                        <c:v>610610</c:v>
                      </c:pt>
                      <c:pt idx="11">
                        <c:v>751944.18</c:v>
                      </c:pt>
                    </c:numCache>
                  </c:numRef>
                </c:val>
                <c:extLst xmlns:c15="http://schemas.microsoft.com/office/drawing/2012/chart">
                  <c:ext xmlns:c16="http://schemas.microsoft.com/office/drawing/2014/chart" uri="{C3380CC4-5D6E-409C-BE32-E72D297353CC}">
                    <c16:uniqueId val="{00000001-2292-4693-B047-206980981D5F}"/>
                  </c:ext>
                </c:extLst>
              </c15:ser>
            </c15:filteredBarSeries>
          </c:ext>
        </c:extLst>
      </c:bar3DChart>
      <c:catAx>
        <c:axId val="1693905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3906911"/>
        <c:crosses val="autoZero"/>
        <c:auto val="1"/>
        <c:lblAlgn val="ctr"/>
        <c:lblOffset val="100"/>
        <c:noMultiLvlLbl val="0"/>
      </c:catAx>
      <c:valAx>
        <c:axId val="1693906911"/>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b="1">
                    <a:solidFill>
                      <a:sysClr val="windowText" lastClr="000000"/>
                    </a:solidFill>
                  </a:rPr>
                  <a:t>Percentage</a:t>
                </a:r>
              </a:p>
              <a:p>
                <a:pPr>
                  <a:defRPr sz="1200" b="1">
                    <a:solidFill>
                      <a:sysClr val="windowText" lastClr="000000"/>
                    </a:solidFill>
                  </a:defRPr>
                </a:pPr>
                <a:endParaRPr lang="en-GB" sz="1200" b="1">
                  <a:solidFill>
                    <a:sysClr val="windowText" lastClr="000000"/>
                  </a:solidFill>
                </a:endParaRPr>
              </a:p>
            </c:rich>
          </c:tx>
          <c:layout>
            <c:manualLayout>
              <c:xMode val="edge"/>
              <c:yMode val="edge"/>
              <c:x val="1.556241933846667E-3"/>
              <c:y val="0.3471417410616315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3905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GB" sz="1200" b="1">
                <a:solidFill>
                  <a:sysClr val="windowText" lastClr="000000"/>
                </a:solidFill>
              </a:rPr>
              <a:t>Average</a:t>
            </a:r>
            <a:r>
              <a:rPr lang="en-GB" sz="1200" b="1" baseline="0">
                <a:solidFill>
                  <a:sysClr val="windowText" lastClr="000000"/>
                </a:solidFill>
              </a:rPr>
              <a:t> Profit Per Year</a:t>
            </a:r>
            <a:endParaRPr lang="en-GB"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GB"/>
        </a:p>
      </c:txPr>
    </c:title>
    <c:autoTitleDeleted val="0"/>
    <c:plotArea>
      <c:layout>
        <c:manualLayout>
          <c:layoutTarget val="inner"/>
          <c:xMode val="edge"/>
          <c:yMode val="edge"/>
          <c:x val="0.19737050072408363"/>
          <c:y val="0.17480746240781989"/>
          <c:w val="0.77586551413577143"/>
          <c:h val="0.57458398268718014"/>
        </c:manualLayout>
      </c:layout>
      <c:barChart>
        <c:barDir val="col"/>
        <c:grouping val="clustered"/>
        <c:varyColors val="0"/>
        <c:ser>
          <c:idx val="0"/>
          <c:order val="0"/>
          <c:spPr>
            <a:solidFill>
              <a:schemeClr val="accent1"/>
            </a:solidFill>
            <a:ln>
              <a:noFill/>
            </a:ln>
            <a:effectLst/>
          </c:spPr>
          <c:invertIfNegative val="0"/>
          <c:cat>
            <c:numRef>
              <c:f>Tables_Charts!$S$72:$S$79</c:f>
              <c:numCache>
                <c:formatCode>@</c:formatCode>
                <c:ptCount val="8"/>
                <c:pt idx="0">
                  <c:v>2010</c:v>
                </c:pt>
                <c:pt idx="1">
                  <c:v>2011</c:v>
                </c:pt>
                <c:pt idx="2">
                  <c:v>2012</c:v>
                </c:pt>
                <c:pt idx="3">
                  <c:v>2013</c:v>
                </c:pt>
                <c:pt idx="4">
                  <c:v>2014</c:v>
                </c:pt>
                <c:pt idx="5">
                  <c:v>2015</c:v>
                </c:pt>
                <c:pt idx="6">
                  <c:v>2016</c:v>
                </c:pt>
                <c:pt idx="7">
                  <c:v>2017</c:v>
                </c:pt>
              </c:numCache>
            </c:numRef>
          </c:cat>
          <c:val>
            <c:numRef>
              <c:f>Tables_Charts!$T$72:$T$79</c:f>
              <c:numCache>
                <c:formatCode>_(* #,##0.00_);_(* \(#,##0.00\);_(* "-"??_);_(@_)</c:formatCode>
                <c:ptCount val="8"/>
                <c:pt idx="0">
                  <c:v>662956.74300000002</c:v>
                </c:pt>
                <c:pt idx="1">
                  <c:v>228417.35250000004</c:v>
                </c:pt>
                <c:pt idx="2">
                  <c:v>418773.18727272731</c:v>
                </c:pt>
                <c:pt idx="3">
                  <c:v>559618.33666666655</c:v>
                </c:pt>
                <c:pt idx="4">
                  <c:v>391964.11199999996</c:v>
                </c:pt>
                <c:pt idx="5">
                  <c:v>363321.76727272733</c:v>
                </c:pt>
                <c:pt idx="6">
                  <c:v>490383.80099999998</c:v>
                </c:pt>
                <c:pt idx="7">
                  <c:v>511169.18125000002</c:v>
                </c:pt>
              </c:numCache>
            </c:numRef>
          </c:val>
          <c:extLst>
            <c:ext xmlns:c16="http://schemas.microsoft.com/office/drawing/2014/chart" uri="{C3380CC4-5D6E-409C-BE32-E72D297353CC}">
              <c16:uniqueId val="{00000000-A812-40B2-9849-4C0A9663525A}"/>
            </c:ext>
          </c:extLst>
        </c:ser>
        <c:dLbls>
          <c:showLegendKey val="0"/>
          <c:showVal val="0"/>
          <c:showCatName val="0"/>
          <c:showSerName val="0"/>
          <c:showPercent val="0"/>
          <c:showBubbleSize val="0"/>
        </c:dLbls>
        <c:gapWidth val="219"/>
        <c:overlap val="-27"/>
        <c:axId val="1422631135"/>
        <c:axId val="1422631615"/>
      </c:barChart>
      <c:catAx>
        <c:axId val="1422631135"/>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b="1">
                    <a:solidFill>
                      <a:sysClr val="windowText" lastClr="000000"/>
                    </a:solidFill>
                  </a:rPr>
                  <a:t>Years</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31615"/>
        <c:crosses val="autoZero"/>
        <c:auto val="1"/>
        <c:lblAlgn val="ctr"/>
        <c:lblOffset val="100"/>
        <c:noMultiLvlLbl val="0"/>
      </c:catAx>
      <c:valAx>
        <c:axId val="1422631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Average</a:t>
                </a:r>
                <a:r>
                  <a:rPr lang="en-GB" sz="1200" b="1" baseline="0"/>
                  <a:t> Profit (£)</a:t>
                </a:r>
                <a:endParaRPr lang="en-GB"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GB"/>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31135"/>
        <c:crosses val="autoZero"/>
        <c:crossBetween val="between"/>
      </c:valAx>
      <c:spPr>
        <a:solidFill>
          <a:schemeClr val="accent3">
            <a:lumMod val="40000"/>
            <a:lumOff val="60000"/>
          </a:schemeClr>
        </a:solidFill>
        <a:ln>
          <a:solidFill>
            <a:schemeClr val="accent4"/>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0" normalizeH="0" baseline="0">
                <a:solidFill>
                  <a:sysClr val="windowText" lastClr="000000"/>
                </a:solidFill>
                <a:latin typeface="+mj-lt"/>
                <a:ea typeface="+mj-ea"/>
                <a:cs typeface="+mj-cs"/>
              </a:defRPr>
            </a:pPr>
            <a:r>
              <a:rPr lang="en-GB" sz="1200">
                <a:solidFill>
                  <a:sysClr val="windowText" lastClr="000000"/>
                </a:solidFill>
              </a:rPr>
              <a:t>The Four</a:t>
            </a:r>
            <a:r>
              <a:rPr lang="en-GB" sz="1200" baseline="0">
                <a:solidFill>
                  <a:sysClr val="windowText" lastClr="000000"/>
                </a:solidFill>
              </a:rPr>
              <a:t> Topmost Revenue-Generating Countries</a:t>
            </a:r>
            <a:r>
              <a:rPr lang="en-GB" sz="1200">
                <a:solidFill>
                  <a:sysClr val="windowText" lastClr="000000"/>
                </a:solidFill>
              </a:rPr>
              <a:t> </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ysClr val="windowText" lastClr="000000"/>
              </a:solidFill>
              <a:latin typeface="+mj-lt"/>
              <a:ea typeface="+mj-ea"/>
              <a:cs typeface="+mj-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Tables_Charts!$V$83:$V$86</c:f>
              <c:strCache>
                <c:ptCount val="4"/>
                <c:pt idx="0">
                  <c:v>Honduras</c:v>
                </c:pt>
                <c:pt idx="1">
                  <c:v>Myanmar</c:v>
                </c:pt>
                <c:pt idx="2">
                  <c:v>Djibouti</c:v>
                </c:pt>
                <c:pt idx="3">
                  <c:v>Turkmenistan</c:v>
                </c:pt>
              </c:strCache>
            </c:strRef>
          </c:cat>
          <c:val>
            <c:numRef>
              <c:f>Tables_Charts!$W$83:$W$86</c:f>
              <c:numCache>
                <c:formatCode>_(* #,##0.00_);_(* \(#,##0.00\);_(* "-"??_);_(@_)</c:formatCode>
                <c:ptCount val="4"/>
                <c:pt idx="0">
                  <c:v>6336545.4800000004</c:v>
                </c:pt>
                <c:pt idx="1">
                  <c:v>6161257.9000000004</c:v>
                </c:pt>
                <c:pt idx="2">
                  <c:v>6052890.8600000003</c:v>
                </c:pt>
                <c:pt idx="3">
                  <c:v>5822036.2000000002</c:v>
                </c:pt>
              </c:numCache>
            </c:numRef>
          </c:val>
          <c:extLst>
            <c:ext xmlns:c16="http://schemas.microsoft.com/office/drawing/2014/chart" uri="{C3380CC4-5D6E-409C-BE32-E72D297353CC}">
              <c16:uniqueId val="{00000000-9366-479F-8A40-FA685936DE84}"/>
            </c:ext>
          </c:extLst>
        </c:ser>
        <c:dLbls>
          <c:dLblPos val="inEnd"/>
          <c:showLegendKey val="0"/>
          <c:showVal val="1"/>
          <c:showCatName val="0"/>
          <c:showSerName val="0"/>
          <c:showPercent val="0"/>
          <c:showBubbleSize val="0"/>
        </c:dLbls>
        <c:gapWidth val="267"/>
        <c:overlap val="-43"/>
        <c:axId val="1720834015"/>
        <c:axId val="1720832095"/>
      </c:barChart>
      <c:catAx>
        <c:axId val="1720834015"/>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GB" sz="1200"/>
                  <a:t>Countries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20832095"/>
        <c:crosses val="autoZero"/>
        <c:auto val="1"/>
        <c:lblAlgn val="ctr"/>
        <c:lblOffset val="100"/>
        <c:noMultiLvlLbl val="0"/>
      </c:catAx>
      <c:valAx>
        <c:axId val="172083209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GB" sz="1200"/>
                  <a:t>Revenue</a:t>
                </a:r>
                <a:r>
                  <a:rPr lang="en-GB" sz="1200" baseline="0"/>
                  <a:t> (£)</a:t>
                </a:r>
                <a:endParaRPr lang="en-GB" sz="1200"/>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GB"/>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2083401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ysClr val="windowText" lastClr="000000"/>
                </a:solidFill>
                <a:effectLst/>
                <a:latin typeface="+mn-lt"/>
                <a:ea typeface="+mn-ea"/>
                <a:cs typeface="+mn-cs"/>
              </a:defRPr>
            </a:pPr>
            <a:r>
              <a:rPr lang="en-GB" sz="1200" b="1">
                <a:solidFill>
                  <a:sysClr val="windowText" lastClr="000000"/>
                </a:solidFill>
              </a:rPr>
              <a:t>The Four Lowest Revenue-Generating Countries</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Tables_Charts!$V$89:$V$92</c:f>
              <c:strCache>
                <c:ptCount val="4"/>
                <c:pt idx="0">
                  <c:v>Kuwait</c:v>
                </c:pt>
                <c:pt idx="1">
                  <c:v>Kyrgyzstan</c:v>
                </c:pt>
                <c:pt idx="2">
                  <c:v>New Zealand</c:v>
                </c:pt>
                <c:pt idx="3">
                  <c:v>Slovakia</c:v>
                </c:pt>
              </c:strCache>
            </c:strRef>
          </c:cat>
          <c:val>
            <c:numRef>
              <c:f>Tables_Charts!$W$89:$W$92</c:f>
              <c:numCache>
                <c:formatCode>_(* #,##0.00_);_(* \(#,##0.00\);_(* "-"??_);_(@_)</c:formatCode>
                <c:ptCount val="4"/>
                <c:pt idx="0">
                  <c:v>4870.26</c:v>
                </c:pt>
                <c:pt idx="1">
                  <c:v>19103.439999999999</c:v>
                </c:pt>
                <c:pt idx="2">
                  <c:v>20404.71</c:v>
                </c:pt>
                <c:pt idx="3">
                  <c:v>26344.26</c:v>
                </c:pt>
              </c:numCache>
            </c:numRef>
          </c:val>
          <c:extLst>
            <c:ext xmlns:c16="http://schemas.microsoft.com/office/drawing/2014/chart" uri="{C3380CC4-5D6E-409C-BE32-E72D297353CC}">
              <c16:uniqueId val="{00000000-5F81-41E1-8498-976C9F7C2D2F}"/>
            </c:ext>
          </c:extLst>
        </c:ser>
        <c:dLbls>
          <c:dLblPos val="inEnd"/>
          <c:showLegendKey val="0"/>
          <c:showVal val="1"/>
          <c:showCatName val="0"/>
          <c:showSerName val="0"/>
          <c:showPercent val="0"/>
          <c:showBubbleSize val="0"/>
        </c:dLbls>
        <c:gapWidth val="41"/>
        <c:axId val="1733613759"/>
        <c:axId val="1733617119"/>
      </c:barChart>
      <c:catAx>
        <c:axId val="1733613759"/>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a:solidFill>
                      <a:sysClr val="windowText" lastClr="000000"/>
                    </a:solidFill>
                  </a:rPr>
                  <a:t>Countries</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33617119"/>
        <c:crosses val="autoZero"/>
        <c:auto val="1"/>
        <c:lblAlgn val="ctr"/>
        <c:lblOffset val="100"/>
        <c:noMultiLvlLbl val="0"/>
      </c:catAx>
      <c:valAx>
        <c:axId val="1733617119"/>
        <c:scaling>
          <c:orientation val="minMax"/>
        </c:scaling>
        <c:delete val="1"/>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a:solidFill>
                      <a:sysClr val="windowText" lastClr="000000"/>
                    </a:solidFill>
                  </a:rPr>
                  <a:t>Revenue (£)</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_(* #,##0.00_);_(* \(#,##0.00\);_(* &quot;-&quot;??_);_(@_)" sourceLinked="1"/>
        <c:majorTickMark val="none"/>
        <c:minorTickMark val="none"/>
        <c:tickLblPos val="nextTo"/>
        <c:crossAx val="1733613759"/>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0" normalizeH="0" baseline="0">
                <a:solidFill>
                  <a:sysClr val="windowText" lastClr="000000"/>
                </a:solidFill>
                <a:latin typeface="+mn-lt"/>
                <a:ea typeface="+mj-ea"/>
                <a:cs typeface="+mj-cs"/>
              </a:defRPr>
            </a:pPr>
            <a:r>
              <a:rPr lang="en-GB" sz="1200">
                <a:solidFill>
                  <a:sysClr val="windowText" lastClr="000000"/>
                </a:solidFill>
                <a:latin typeface="+mn-lt"/>
              </a:rPr>
              <a:t>Revenue</a:t>
            </a:r>
            <a:r>
              <a:rPr lang="en-GB" sz="1200" baseline="0">
                <a:solidFill>
                  <a:sysClr val="windowText" lastClr="000000"/>
                </a:solidFill>
                <a:latin typeface="+mn-lt"/>
              </a:rPr>
              <a:t> Growth Year-on-Year</a:t>
            </a:r>
            <a:endParaRPr lang="en-GB" sz="1200">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ysClr val="windowText" lastClr="000000"/>
              </a:solidFill>
              <a:latin typeface="+mn-lt"/>
              <a:ea typeface="+mj-ea"/>
              <a:cs typeface="+mj-cs"/>
            </a:defRPr>
          </a:pPr>
          <a:endParaRPr lang="en-GB"/>
        </a:p>
      </c:txPr>
    </c:title>
    <c:autoTitleDeleted val="0"/>
    <c:plotArea>
      <c:layout/>
      <c:lineChart>
        <c:grouping val="standard"/>
        <c:varyColors val="0"/>
        <c:ser>
          <c:idx val="0"/>
          <c:order val="0"/>
          <c:spPr>
            <a:ln w="22225" cap="rnd">
              <a:solidFill>
                <a:schemeClr val="accent1"/>
              </a:solidFill>
              <a:round/>
            </a:ln>
            <a:effectLst/>
          </c:spPr>
          <c:marker>
            <c:symbol val="none"/>
          </c:marker>
          <c:cat>
            <c:numRef>
              <c:f>Tables_Charts!$S$163:$S$170</c:f>
              <c:numCache>
                <c:formatCode>@</c:formatCode>
                <c:ptCount val="8"/>
                <c:pt idx="0">
                  <c:v>2010</c:v>
                </c:pt>
                <c:pt idx="1">
                  <c:v>2011</c:v>
                </c:pt>
                <c:pt idx="2">
                  <c:v>2012</c:v>
                </c:pt>
                <c:pt idx="3">
                  <c:v>2013</c:v>
                </c:pt>
                <c:pt idx="4">
                  <c:v>2014</c:v>
                </c:pt>
                <c:pt idx="5">
                  <c:v>2015</c:v>
                </c:pt>
                <c:pt idx="6">
                  <c:v>2016</c:v>
                </c:pt>
                <c:pt idx="7">
                  <c:v>2017</c:v>
                </c:pt>
              </c:numCache>
            </c:numRef>
          </c:cat>
          <c:val>
            <c:numRef>
              <c:f>Tables_Charts!$T$163:$T$170</c:f>
              <c:numCache>
                <c:formatCode>_(* #,##0.00_);_(* \(#,##0.00\);_(* "-"??_);_(@_)</c:formatCode>
                <c:ptCount val="8"/>
                <c:pt idx="0">
                  <c:v>19186024.920000002</c:v>
                </c:pt>
                <c:pt idx="1">
                  <c:v>11129166.07</c:v>
                </c:pt>
                <c:pt idx="2">
                  <c:v>31898644.52</c:v>
                </c:pt>
                <c:pt idx="3">
                  <c:v>20330448.66</c:v>
                </c:pt>
                <c:pt idx="4">
                  <c:v>16630214.430000002</c:v>
                </c:pt>
                <c:pt idx="5">
                  <c:v>12427982.860000001</c:v>
                </c:pt>
                <c:pt idx="6">
                  <c:v>12372867.219999999</c:v>
                </c:pt>
                <c:pt idx="7">
                  <c:v>13373419.629999999</c:v>
                </c:pt>
              </c:numCache>
            </c:numRef>
          </c:val>
          <c:smooth val="0"/>
          <c:extLst>
            <c:ext xmlns:c16="http://schemas.microsoft.com/office/drawing/2014/chart" uri="{C3380CC4-5D6E-409C-BE32-E72D297353CC}">
              <c16:uniqueId val="{00000000-7A75-443E-A87F-22EDF82AF734}"/>
            </c:ext>
          </c:extLst>
        </c:ser>
        <c:dLbls>
          <c:showLegendKey val="0"/>
          <c:showVal val="0"/>
          <c:showCatName val="0"/>
          <c:showSerName val="0"/>
          <c:showPercent val="0"/>
          <c:showBubbleSize val="0"/>
        </c:dLbls>
        <c:smooth val="0"/>
        <c:axId val="1733619039"/>
        <c:axId val="1733616159"/>
      </c:lineChart>
      <c:catAx>
        <c:axId val="173361903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a:solidFill>
                      <a:sysClr val="windowText" lastClr="000000"/>
                    </a:solidFill>
                  </a:rPr>
                  <a:t>Years</a:t>
                </a:r>
              </a:p>
            </c:rich>
          </c:tx>
          <c:layout>
            <c:manualLayout>
              <c:xMode val="edge"/>
              <c:yMode val="edge"/>
              <c:x val="0.54016744876587397"/>
              <c:y val="0.86499236416680625"/>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33616159"/>
        <c:crosses val="autoZero"/>
        <c:auto val="1"/>
        <c:lblAlgn val="ctr"/>
        <c:lblOffset val="100"/>
        <c:noMultiLvlLbl val="0"/>
      </c:catAx>
      <c:valAx>
        <c:axId val="1733616159"/>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a:solidFill>
                      <a:sysClr val="windowText" lastClr="000000"/>
                    </a:solidFill>
                  </a:rPr>
                  <a:t>Revenue</a:t>
                </a:r>
                <a:r>
                  <a:rPr lang="en-GB" sz="1200" baseline="0">
                    <a:solidFill>
                      <a:sysClr val="windowText" lastClr="000000"/>
                    </a:solidFill>
                  </a:rPr>
                  <a:t> (£)</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3361903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[Sylip_Sales_Analysis.xlsx]Pivot!PivotTable26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9803149606299"/>
          <c:y val="0.12860892388451445"/>
          <c:w val="0.73682961504811895"/>
          <c:h val="0.39648403324584425"/>
        </c:manualLayout>
      </c:layout>
      <c:barChart>
        <c:barDir val="col"/>
        <c:grouping val="clustered"/>
        <c:varyColors val="0"/>
        <c:ser>
          <c:idx val="0"/>
          <c:order val="0"/>
          <c:tx>
            <c:strRef>
              <c:f>Pivot!$B$3</c:f>
              <c:strCache>
                <c:ptCount val="1"/>
                <c:pt idx="0">
                  <c:v>Sum of Total Revenue (£)</c:v>
                </c:pt>
              </c:strCache>
            </c:strRef>
          </c:tx>
          <c:spPr>
            <a:solidFill>
              <a:schemeClr val="accent1"/>
            </a:solidFill>
            <a:ln>
              <a:noFill/>
            </a:ln>
            <a:effectLst/>
          </c:spPr>
          <c:invertIfNegative val="0"/>
          <c:cat>
            <c:strRef>
              <c:f>Pivot!$A$4:$A$11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Pivot!$B$4:$B$11</c:f>
              <c:numCache>
                <c:formatCode>_(* #,##0.00_);_(* \(#,##0.00\);_(* "-"??_);_(@_)</c:formatCode>
                <c:ptCount val="7"/>
                <c:pt idx="0">
                  <c:v>21347091.020000003</c:v>
                </c:pt>
                <c:pt idx="1">
                  <c:v>14094265.130000003</c:v>
                </c:pt>
                <c:pt idx="2">
                  <c:v>9170385.4900000002</c:v>
                </c:pt>
                <c:pt idx="3">
                  <c:v>33368932.109999999</c:v>
                </c:pt>
                <c:pt idx="4">
                  <c:v>14052706.58</c:v>
                </c:pt>
                <c:pt idx="5">
                  <c:v>5643356.5500000007</c:v>
                </c:pt>
                <c:pt idx="6">
                  <c:v>39672031.430000007</c:v>
                </c:pt>
              </c:numCache>
            </c:numRef>
          </c:val>
          <c:extLst>
            <c:ext xmlns:c16="http://schemas.microsoft.com/office/drawing/2014/chart" uri="{C3380CC4-5D6E-409C-BE32-E72D297353CC}">
              <c16:uniqueId val="{00000000-D469-4715-830C-9DA6B380B86C}"/>
            </c:ext>
          </c:extLst>
        </c:ser>
        <c:ser>
          <c:idx val="1"/>
          <c:order val="1"/>
          <c:tx>
            <c:strRef>
              <c:f>Pivot!$C$3</c:f>
              <c:strCache>
                <c:ptCount val="1"/>
                <c:pt idx="0">
                  <c:v>Sum of Total Profit (£)</c:v>
                </c:pt>
              </c:strCache>
            </c:strRef>
          </c:tx>
          <c:spPr>
            <a:solidFill>
              <a:schemeClr val="accent2"/>
            </a:solidFill>
            <a:ln>
              <a:noFill/>
            </a:ln>
            <a:effectLst/>
          </c:spPr>
          <c:invertIfNegative val="0"/>
          <c:cat>
            <c:strRef>
              <c:f>Pivot!$A$4:$A$11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Pivot!$C$4:$C$11</c:f>
              <c:numCache>
                <c:formatCode>_(* #,##0.00_);_(* \(#,##0.00\);_(* "-"??_);_(@_)</c:formatCode>
                <c:ptCount val="7"/>
                <c:pt idx="0">
                  <c:v>6113845.8700000001</c:v>
                </c:pt>
                <c:pt idx="1">
                  <c:v>4722160.03</c:v>
                </c:pt>
                <c:pt idx="2">
                  <c:v>2846907.85</c:v>
                </c:pt>
                <c:pt idx="3">
                  <c:v>11082938.629999999</c:v>
                </c:pt>
                <c:pt idx="4">
                  <c:v>5761191.8599999994</c:v>
                </c:pt>
                <c:pt idx="5">
                  <c:v>1457942.76</c:v>
                </c:pt>
                <c:pt idx="6">
                  <c:v>12183211.400000004</c:v>
                </c:pt>
              </c:numCache>
            </c:numRef>
          </c:val>
          <c:extLst>
            <c:ext xmlns:c16="http://schemas.microsoft.com/office/drawing/2014/chart" uri="{C3380CC4-5D6E-409C-BE32-E72D297353CC}">
              <c16:uniqueId val="{00000001-D469-4715-830C-9DA6B380B86C}"/>
            </c:ext>
          </c:extLst>
        </c:ser>
        <c:dLbls>
          <c:showLegendKey val="0"/>
          <c:showVal val="0"/>
          <c:showCatName val="0"/>
          <c:showSerName val="0"/>
          <c:showPercent val="0"/>
          <c:showBubbleSize val="0"/>
        </c:dLbls>
        <c:gapWidth val="219"/>
        <c:overlap val="-27"/>
        <c:axId val="1280652400"/>
        <c:axId val="1280662000"/>
      </c:barChart>
      <c:catAx>
        <c:axId val="128065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62000"/>
        <c:crosses val="autoZero"/>
        <c:auto val="1"/>
        <c:lblAlgn val="ctr"/>
        <c:lblOffset val="100"/>
        <c:noMultiLvlLbl val="0"/>
      </c:catAx>
      <c:valAx>
        <c:axId val="128066200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2400"/>
        <c:crosses val="autoZero"/>
        <c:crossBetween val="between"/>
      </c:valAx>
      <c:spPr>
        <a:noFill/>
        <a:ln>
          <a:noFill/>
        </a:ln>
        <a:effectLst/>
      </c:spPr>
    </c:plotArea>
    <c:legend>
      <c:legendPos val="r"/>
      <c:layout>
        <c:manualLayout>
          <c:xMode val="edge"/>
          <c:yMode val="edge"/>
          <c:x val="0.6792720909886264"/>
          <c:y val="0.786389253426655"/>
          <c:w val="0.30406124234470694"/>
          <c:h val="0.19111001749781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[Sylip_Sales_Analysis.xlsx]Pivot!PivotTable27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Pivot!$F$3</c:f>
              <c:strCache>
                <c:ptCount val="1"/>
                <c:pt idx="0">
                  <c:v>Sum of Total Revenue (£)</c:v>
                </c:pt>
              </c:strCache>
            </c:strRef>
          </c:tx>
          <c:spPr>
            <a:solidFill>
              <a:schemeClr val="accent1"/>
            </a:solidFill>
            <a:ln>
              <a:noFill/>
            </a:ln>
            <a:effectLst/>
          </c:spPr>
          <c:invertIfNegative val="0"/>
          <c:cat>
            <c:strRef>
              <c:f>Pivot!$E$4:$E$12</c:f>
              <c:strCache>
                <c:ptCount val="8"/>
                <c:pt idx="0">
                  <c:v>2010</c:v>
                </c:pt>
                <c:pt idx="1">
                  <c:v>2011</c:v>
                </c:pt>
                <c:pt idx="2">
                  <c:v>2012</c:v>
                </c:pt>
                <c:pt idx="3">
                  <c:v>2013</c:v>
                </c:pt>
                <c:pt idx="4">
                  <c:v>2014</c:v>
                </c:pt>
                <c:pt idx="5">
                  <c:v>2015</c:v>
                </c:pt>
                <c:pt idx="6">
                  <c:v>2016</c:v>
                </c:pt>
                <c:pt idx="7">
                  <c:v>2017</c:v>
                </c:pt>
              </c:strCache>
            </c:strRef>
          </c:cat>
          <c:val>
            <c:numRef>
              <c:f>Pivot!$F$4:$F$12</c:f>
              <c:numCache>
                <c:formatCode>_(* #,##0.00_);_(* \(#,##0.00\);_(* "-"??_);_(@_)</c:formatCode>
                <c:ptCount val="8"/>
                <c:pt idx="0">
                  <c:v>19186024.920000002</c:v>
                </c:pt>
                <c:pt idx="1">
                  <c:v>11129166.07</c:v>
                </c:pt>
                <c:pt idx="2">
                  <c:v>31898644.52</c:v>
                </c:pt>
                <c:pt idx="3">
                  <c:v>20330448.66</c:v>
                </c:pt>
                <c:pt idx="4">
                  <c:v>16630214.430000002</c:v>
                </c:pt>
                <c:pt idx="5">
                  <c:v>12427982.860000001</c:v>
                </c:pt>
                <c:pt idx="6">
                  <c:v>12372867.219999999</c:v>
                </c:pt>
                <c:pt idx="7">
                  <c:v>13373419.629999999</c:v>
                </c:pt>
              </c:numCache>
            </c:numRef>
          </c:val>
          <c:extLst>
            <c:ext xmlns:c16="http://schemas.microsoft.com/office/drawing/2014/chart" uri="{C3380CC4-5D6E-409C-BE32-E72D297353CC}">
              <c16:uniqueId val="{00000000-C3FD-44D7-B6A3-95AB5E3B9722}"/>
            </c:ext>
          </c:extLst>
        </c:ser>
        <c:ser>
          <c:idx val="1"/>
          <c:order val="1"/>
          <c:tx>
            <c:strRef>
              <c:f>Pivot!$G$3</c:f>
              <c:strCache>
                <c:ptCount val="1"/>
                <c:pt idx="0">
                  <c:v>Sum of Total Profit (£)</c:v>
                </c:pt>
              </c:strCache>
            </c:strRef>
          </c:tx>
          <c:spPr>
            <a:solidFill>
              <a:schemeClr val="accent2"/>
            </a:solidFill>
            <a:ln>
              <a:noFill/>
            </a:ln>
            <a:effectLst/>
          </c:spPr>
          <c:invertIfNegative val="0"/>
          <c:cat>
            <c:strRef>
              <c:f>Pivot!$E$4:$E$12</c:f>
              <c:strCache>
                <c:ptCount val="8"/>
                <c:pt idx="0">
                  <c:v>2010</c:v>
                </c:pt>
                <c:pt idx="1">
                  <c:v>2011</c:v>
                </c:pt>
                <c:pt idx="2">
                  <c:v>2012</c:v>
                </c:pt>
                <c:pt idx="3">
                  <c:v>2013</c:v>
                </c:pt>
                <c:pt idx="4">
                  <c:v>2014</c:v>
                </c:pt>
                <c:pt idx="5">
                  <c:v>2015</c:v>
                </c:pt>
                <c:pt idx="6">
                  <c:v>2016</c:v>
                </c:pt>
                <c:pt idx="7">
                  <c:v>2017</c:v>
                </c:pt>
              </c:strCache>
            </c:strRef>
          </c:cat>
          <c:val>
            <c:numRef>
              <c:f>Pivot!$G$4:$G$12</c:f>
              <c:numCache>
                <c:formatCode>_(* #,##0.00_);_(* \(#,##0.00\);_(* "-"??_);_(@_)</c:formatCode>
                <c:ptCount val="8"/>
                <c:pt idx="0">
                  <c:v>6629567.4299999997</c:v>
                </c:pt>
                <c:pt idx="1">
                  <c:v>2741008.2300000004</c:v>
                </c:pt>
                <c:pt idx="2">
                  <c:v>9213010.120000001</c:v>
                </c:pt>
                <c:pt idx="3">
                  <c:v>6715420.0399999991</c:v>
                </c:pt>
                <c:pt idx="4">
                  <c:v>5879461.6799999997</c:v>
                </c:pt>
                <c:pt idx="5">
                  <c:v>3996539.4400000004</c:v>
                </c:pt>
                <c:pt idx="6">
                  <c:v>4903838.01</c:v>
                </c:pt>
                <c:pt idx="7">
                  <c:v>4089353.45</c:v>
                </c:pt>
              </c:numCache>
            </c:numRef>
          </c:val>
          <c:extLst>
            <c:ext xmlns:c16="http://schemas.microsoft.com/office/drawing/2014/chart" uri="{C3380CC4-5D6E-409C-BE32-E72D297353CC}">
              <c16:uniqueId val="{00000001-C3FD-44D7-B6A3-95AB5E3B9722}"/>
            </c:ext>
          </c:extLst>
        </c:ser>
        <c:dLbls>
          <c:showLegendKey val="0"/>
          <c:showVal val="0"/>
          <c:showCatName val="0"/>
          <c:showSerName val="0"/>
          <c:showPercent val="0"/>
          <c:showBubbleSize val="0"/>
        </c:dLbls>
        <c:gapWidth val="150"/>
        <c:overlap val="100"/>
        <c:axId val="1179208880"/>
        <c:axId val="1179209360"/>
      </c:barChart>
      <c:catAx>
        <c:axId val="117920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09360"/>
        <c:crosses val="autoZero"/>
        <c:auto val="1"/>
        <c:lblAlgn val="ctr"/>
        <c:lblOffset val="100"/>
        <c:noMultiLvlLbl val="0"/>
      </c:catAx>
      <c:valAx>
        <c:axId val="117920936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[Sylip_Sales_Analysis.xlsx]Pivot!PivotTable28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Pivot!$J$3</c:f>
              <c:strCache>
                <c:ptCount val="1"/>
                <c:pt idx="0">
                  <c:v>Sum of Total Revenue (£)</c:v>
                </c:pt>
              </c:strCache>
            </c:strRef>
          </c:tx>
          <c:spPr>
            <a:solidFill>
              <a:schemeClr val="accent1"/>
            </a:solidFill>
            <a:ln>
              <a:noFill/>
            </a:ln>
            <a:effectLst/>
          </c:spPr>
          <c:invertIfNegative val="0"/>
          <c:cat>
            <c:strRef>
              <c:f>Pivot!$I$4:$I$16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Pivot!$J$4:$J$16</c:f>
              <c:numCache>
                <c:formatCode>_(* #,##0.00_);_(* \(#,##0.00\);_(* "-"??_);_(@_)</c:formatCode>
                <c:ptCount val="12"/>
                <c:pt idx="0">
                  <c:v>10350327.6</c:v>
                </c:pt>
                <c:pt idx="1">
                  <c:v>2690794.6</c:v>
                </c:pt>
                <c:pt idx="2">
                  <c:v>5322898.9000000004</c:v>
                </c:pt>
                <c:pt idx="3">
                  <c:v>7787292.799999998</c:v>
                </c:pt>
                <c:pt idx="4">
                  <c:v>36601509.600000001</c:v>
                </c:pt>
                <c:pt idx="5">
                  <c:v>466481.34</c:v>
                </c:pt>
                <c:pt idx="6">
                  <c:v>29889712.289999995</c:v>
                </c:pt>
                <c:pt idx="7">
                  <c:v>4503675.75</c:v>
                </c:pt>
                <c:pt idx="8">
                  <c:v>30585380.07</c:v>
                </c:pt>
                <c:pt idx="9">
                  <c:v>3980904.8400000003</c:v>
                </c:pt>
                <c:pt idx="10">
                  <c:v>2080733.46</c:v>
                </c:pt>
                <c:pt idx="11">
                  <c:v>3089057.06</c:v>
                </c:pt>
              </c:numCache>
            </c:numRef>
          </c:val>
          <c:extLst>
            <c:ext xmlns:c16="http://schemas.microsoft.com/office/drawing/2014/chart" uri="{C3380CC4-5D6E-409C-BE32-E72D297353CC}">
              <c16:uniqueId val="{00000000-BB59-4258-8088-1343D0C47302}"/>
            </c:ext>
          </c:extLst>
        </c:ser>
        <c:ser>
          <c:idx val="1"/>
          <c:order val="1"/>
          <c:tx>
            <c:strRef>
              <c:f>Pivot!$K$3</c:f>
              <c:strCache>
                <c:ptCount val="1"/>
                <c:pt idx="0">
                  <c:v>Sum of Total Profit (£)</c:v>
                </c:pt>
              </c:strCache>
            </c:strRef>
          </c:tx>
          <c:spPr>
            <a:solidFill>
              <a:schemeClr val="accent2"/>
            </a:solidFill>
            <a:ln>
              <a:noFill/>
            </a:ln>
            <a:effectLst/>
          </c:spPr>
          <c:invertIfNegative val="0"/>
          <c:cat>
            <c:strRef>
              <c:f>Pivot!$I$4:$I$16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Pivot!$K$4:$K$16</c:f>
              <c:numCache>
                <c:formatCode>_(* #,##0.00_);_(* \(#,##0.00\);_(* "-"??_);_(@_)</c:formatCode>
                <c:ptCount val="12"/>
                <c:pt idx="0">
                  <c:v>3886643.7</c:v>
                </c:pt>
                <c:pt idx="1">
                  <c:v>888047.27999999991</c:v>
                </c:pt>
                <c:pt idx="2">
                  <c:v>2292443.4299999997</c:v>
                </c:pt>
                <c:pt idx="3">
                  <c:v>5233334.4000000004</c:v>
                </c:pt>
                <c:pt idx="4">
                  <c:v>14556048.66</c:v>
                </c:pt>
                <c:pt idx="5">
                  <c:v>120495.18</c:v>
                </c:pt>
                <c:pt idx="6">
                  <c:v>7412605.7100000009</c:v>
                </c:pt>
                <c:pt idx="7">
                  <c:v>610610</c:v>
                </c:pt>
                <c:pt idx="8">
                  <c:v>5929583.75</c:v>
                </c:pt>
                <c:pt idx="9">
                  <c:v>1220622.48</c:v>
                </c:pt>
                <c:pt idx="10">
                  <c:v>751944.18</c:v>
                </c:pt>
                <c:pt idx="11">
                  <c:v>1265819.6300000001</c:v>
                </c:pt>
              </c:numCache>
            </c:numRef>
          </c:val>
          <c:extLst>
            <c:ext xmlns:c16="http://schemas.microsoft.com/office/drawing/2014/chart" uri="{C3380CC4-5D6E-409C-BE32-E72D297353CC}">
              <c16:uniqueId val="{00000001-BB59-4258-8088-1343D0C47302}"/>
            </c:ext>
          </c:extLst>
        </c:ser>
        <c:dLbls>
          <c:showLegendKey val="0"/>
          <c:showVal val="0"/>
          <c:showCatName val="0"/>
          <c:showSerName val="0"/>
          <c:showPercent val="0"/>
          <c:showBubbleSize val="0"/>
        </c:dLbls>
        <c:gapWidth val="150"/>
        <c:overlap val="100"/>
        <c:axId val="1321659680"/>
        <c:axId val="1321660640"/>
      </c:barChart>
      <c:catAx>
        <c:axId val="132165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660640"/>
        <c:crosses val="autoZero"/>
        <c:auto val="1"/>
        <c:lblAlgn val="ctr"/>
        <c:lblOffset val="100"/>
        <c:noMultiLvlLbl val="0"/>
      </c:catAx>
      <c:valAx>
        <c:axId val="132166064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65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Pivot!$Y$3</c:f>
              <c:strCache>
                <c:ptCount val="1"/>
                <c:pt idx="0">
                  <c:v>Revenue %</c:v>
                </c:pt>
              </c:strCache>
            </c:strRef>
          </c:tx>
          <c:spPr>
            <a:solidFill>
              <a:schemeClr val="accent1"/>
            </a:solidFill>
            <a:ln>
              <a:noFill/>
            </a:ln>
            <a:effectLst/>
          </c:spPr>
          <c:invertIfNegative val="0"/>
          <c:cat>
            <c:strRef>
              <c:f>Pivot!$X$4:$X$11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Pivot!$Y$4:$Y$11</c:f>
              <c:numCache>
                <c:formatCode>0.00%</c:formatCode>
                <c:ptCount val="7"/>
                <c:pt idx="0">
                  <c:v>0.15542251512455521</c:v>
                </c:pt>
                <c:pt idx="1">
                  <c:v>0.10261661100730698</c:v>
                </c:pt>
                <c:pt idx="2">
                  <c:v>6.6767147625977866E-2</c:v>
                </c:pt>
                <c:pt idx="3">
                  <c:v>0.24295035565725198</c:v>
                </c:pt>
                <c:pt idx="4">
                  <c:v>0.10231403421312558</c:v>
                </c:pt>
                <c:pt idx="5">
                  <c:v>4.1087784182110662E-2</c:v>
                </c:pt>
                <c:pt idx="6">
                  <c:v>0.28884155218967184</c:v>
                </c:pt>
              </c:numCache>
            </c:numRef>
          </c:val>
          <c:extLst>
            <c:ext xmlns:c16="http://schemas.microsoft.com/office/drawing/2014/chart" uri="{C3380CC4-5D6E-409C-BE32-E72D297353CC}">
              <c16:uniqueId val="{00000000-2A54-478D-90E2-CED4EBC4362A}"/>
            </c:ext>
          </c:extLst>
        </c:ser>
        <c:ser>
          <c:idx val="1"/>
          <c:order val="1"/>
          <c:tx>
            <c:strRef>
              <c:f>Pivot!$Z$3</c:f>
              <c:strCache>
                <c:ptCount val="1"/>
                <c:pt idx="0">
                  <c:v>Profit %</c:v>
                </c:pt>
              </c:strCache>
            </c:strRef>
          </c:tx>
          <c:spPr>
            <a:solidFill>
              <a:schemeClr val="accent2"/>
            </a:solidFill>
            <a:ln>
              <a:noFill/>
            </a:ln>
            <a:effectLst/>
          </c:spPr>
          <c:invertIfNegative val="0"/>
          <c:cat>
            <c:strRef>
              <c:f>Pivot!$X$4:$X$11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Pivot!$Z$4:$Z$11</c:f>
              <c:numCache>
                <c:formatCode>0.00%</c:formatCode>
                <c:ptCount val="7"/>
                <c:pt idx="0">
                  <c:v>0.13842189836749147</c:v>
                </c:pt>
                <c:pt idx="1">
                  <c:v>0.10691312304012834</c:v>
                </c:pt>
                <c:pt idx="2">
                  <c:v>6.4456055558743369E-2</c:v>
                </c:pt>
                <c:pt idx="3">
                  <c:v>0.2509257572525303</c:v>
                </c:pt>
                <c:pt idx="4">
                  <c:v>0.13043755617616495</c:v>
                </c:pt>
                <c:pt idx="5">
                  <c:v>3.3008879981846845E-2</c:v>
                </c:pt>
                <c:pt idx="6">
                  <c:v>0.27583672962309469</c:v>
                </c:pt>
              </c:numCache>
            </c:numRef>
          </c:val>
          <c:extLst>
            <c:ext xmlns:c16="http://schemas.microsoft.com/office/drawing/2014/chart" uri="{C3380CC4-5D6E-409C-BE32-E72D297353CC}">
              <c16:uniqueId val="{00000001-2A54-478D-90E2-CED4EBC4362A}"/>
            </c:ext>
          </c:extLst>
        </c:ser>
        <c:dLbls>
          <c:showLegendKey val="0"/>
          <c:showVal val="0"/>
          <c:showCatName val="0"/>
          <c:showSerName val="0"/>
          <c:showPercent val="0"/>
          <c:showBubbleSize val="0"/>
        </c:dLbls>
        <c:gapWidth val="219"/>
        <c:overlap val="-27"/>
        <c:axId val="1373685952"/>
        <c:axId val="1373686432"/>
      </c:barChart>
      <c:catAx>
        <c:axId val="137368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86432"/>
        <c:crosses val="autoZero"/>
        <c:auto val="1"/>
        <c:lblAlgn val="ctr"/>
        <c:lblOffset val="100"/>
        <c:noMultiLvlLbl val="0"/>
      </c:catAx>
      <c:valAx>
        <c:axId val="1373686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8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[Sylip_Sales_Analysis.xlsx]Pivot!PivotTable33</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Pivot!$AC$3</c:f>
              <c:strCache>
                <c:ptCount val="1"/>
                <c:pt idx="0">
                  <c:v>Revenue %</c:v>
                </c:pt>
              </c:strCache>
            </c:strRef>
          </c:tx>
          <c:spPr>
            <a:solidFill>
              <a:schemeClr val="accent1"/>
            </a:solidFill>
            <a:ln>
              <a:noFill/>
            </a:ln>
            <a:effectLst/>
            <a:sp3d/>
          </c:spPr>
          <c:invertIfNegative val="0"/>
          <c:cat>
            <c:strRef>
              <c:f>Pivot!$AB$4:$AB$12</c:f>
              <c:strCache>
                <c:ptCount val="8"/>
                <c:pt idx="0">
                  <c:v>2010</c:v>
                </c:pt>
                <c:pt idx="1">
                  <c:v>2011</c:v>
                </c:pt>
                <c:pt idx="2">
                  <c:v>2012</c:v>
                </c:pt>
                <c:pt idx="3">
                  <c:v>2013</c:v>
                </c:pt>
                <c:pt idx="4">
                  <c:v>2014</c:v>
                </c:pt>
                <c:pt idx="5">
                  <c:v>2015</c:v>
                </c:pt>
                <c:pt idx="6">
                  <c:v>2016</c:v>
                </c:pt>
                <c:pt idx="7">
                  <c:v>2017</c:v>
                </c:pt>
              </c:strCache>
            </c:strRef>
          </c:cat>
          <c:val>
            <c:numRef>
              <c:f>Pivot!$AC$4:$AC$12</c:f>
              <c:numCache>
                <c:formatCode>0.00%</c:formatCode>
                <c:ptCount val="8"/>
                <c:pt idx="0">
                  <c:v>0.13968836529131887</c:v>
                </c:pt>
                <c:pt idx="1">
                  <c:v>8.1028510171137186E-2</c:v>
                </c:pt>
                <c:pt idx="2">
                  <c:v>0.23224558117626412</c:v>
                </c:pt>
                <c:pt idx="3">
                  <c:v>0.14802061139793848</c:v>
                </c:pt>
                <c:pt idx="4">
                  <c:v>0.12108018611761515</c:v>
                </c:pt>
                <c:pt idx="5">
                  <c:v>9.0484851177912981E-2</c:v>
                </c:pt>
                <c:pt idx="6">
                  <c:v>9.008356880255447E-2</c:v>
                </c:pt>
                <c:pt idx="7">
                  <c:v>9.7368325865258704E-2</c:v>
                </c:pt>
              </c:numCache>
            </c:numRef>
          </c:val>
          <c:extLst>
            <c:ext xmlns:c16="http://schemas.microsoft.com/office/drawing/2014/chart" uri="{C3380CC4-5D6E-409C-BE32-E72D297353CC}">
              <c16:uniqueId val="{00000000-692E-4C69-9E95-DEC3A6704535}"/>
            </c:ext>
          </c:extLst>
        </c:ser>
        <c:ser>
          <c:idx val="1"/>
          <c:order val="1"/>
          <c:tx>
            <c:strRef>
              <c:f>Pivot!$AD$3</c:f>
              <c:strCache>
                <c:ptCount val="1"/>
                <c:pt idx="0">
                  <c:v>Profit %</c:v>
                </c:pt>
              </c:strCache>
            </c:strRef>
          </c:tx>
          <c:spPr>
            <a:solidFill>
              <a:schemeClr val="accent2"/>
            </a:solidFill>
            <a:ln>
              <a:noFill/>
            </a:ln>
            <a:effectLst/>
            <a:sp3d/>
          </c:spPr>
          <c:invertIfNegative val="0"/>
          <c:cat>
            <c:strRef>
              <c:f>Pivot!$AB$4:$AB$12</c:f>
              <c:strCache>
                <c:ptCount val="8"/>
                <c:pt idx="0">
                  <c:v>2010</c:v>
                </c:pt>
                <c:pt idx="1">
                  <c:v>2011</c:v>
                </c:pt>
                <c:pt idx="2">
                  <c:v>2012</c:v>
                </c:pt>
                <c:pt idx="3">
                  <c:v>2013</c:v>
                </c:pt>
                <c:pt idx="4">
                  <c:v>2014</c:v>
                </c:pt>
                <c:pt idx="5">
                  <c:v>2015</c:v>
                </c:pt>
                <c:pt idx="6">
                  <c:v>2016</c:v>
                </c:pt>
                <c:pt idx="7">
                  <c:v>2017</c:v>
                </c:pt>
              </c:strCache>
            </c:strRef>
          </c:cat>
          <c:val>
            <c:numRef>
              <c:f>Pivot!$AD$4:$AD$12</c:f>
              <c:numCache>
                <c:formatCode>0.00%</c:formatCode>
                <c:ptCount val="8"/>
                <c:pt idx="0">
                  <c:v>0.15009820799029919</c:v>
                </c:pt>
                <c:pt idx="1">
                  <c:v>6.2058411465567058E-2</c:v>
                </c:pt>
                <c:pt idx="2">
                  <c:v>0.20858922151554185</c:v>
                </c:pt>
                <c:pt idx="3">
                  <c:v>0.15204197325829796</c:v>
                </c:pt>
                <c:pt idx="4">
                  <c:v>0.13311527055629238</c:v>
                </c:pt>
                <c:pt idx="5">
                  <c:v>9.0484547361569551E-2</c:v>
                </c:pt>
                <c:pt idx="6">
                  <c:v>0.11102644408516332</c:v>
                </c:pt>
                <c:pt idx="7">
                  <c:v>9.2585923767268721E-2</c:v>
                </c:pt>
              </c:numCache>
            </c:numRef>
          </c:val>
          <c:extLst>
            <c:ext xmlns:c16="http://schemas.microsoft.com/office/drawing/2014/chart" uri="{C3380CC4-5D6E-409C-BE32-E72D297353CC}">
              <c16:uniqueId val="{00000001-692E-4C69-9E95-DEC3A6704535}"/>
            </c:ext>
          </c:extLst>
        </c:ser>
        <c:dLbls>
          <c:showLegendKey val="0"/>
          <c:showVal val="0"/>
          <c:showCatName val="0"/>
          <c:showSerName val="0"/>
          <c:showPercent val="0"/>
          <c:showBubbleSize val="0"/>
        </c:dLbls>
        <c:gapWidth val="150"/>
        <c:shape val="box"/>
        <c:axId val="1302082000"/>
        <c:axId val="1302091120"/>
        <c:axId val="0"/>
      </c:bar3DChart>
      <c:catAx>
        <c:axId val="1302082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091120"/>
        <c:crosses val="autoZero"/>
        <c:auto val="1"/>
        <c:lblAlgn val="ctr"/>
        <c:lblOffset val="100"/>
        <c:noMultiLvlLbl val="0"/>
      </c:catAx>
      <c:valAx>
        <c:axId val="1302091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0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[Sylip_Sales_Analysis.xlsx]Pivot!PivotTable34</c:name>
    <c:fmtId val="2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Pivot!$AG$3</c:f>
              <c:strCache>
                <c:ptCount val="1"/>
                <c:pt idx="0">
                  <c:v>Revenue %</c:v>
                </c:pt>
              </c:strCache>
            </c:strRef>
          </c:tx>
          <c:spPr>
            <a:solidFill>
              <a:schemeClr val="accent1"/>
            </a:solidFill>
            <a:ln>
              <a:noFill/>
            </a:ln>
            <a:effectLst/>
            <a:sp3d/>
          </c:spPr>
          <c:invertIfNegative val="0"/>
          <c:cat>
            <c:strRef>
              <c:f>Pivot!$AF$4:$AF$16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Pivot!$AG$4:$AG$16</c:f>
              <c:numCache>
                <c:formatCode>0.00%</c:formatCode>
                <c:ptCount val="12"/>
                <c:pt idx="0">
                  <c:v>7.5357993576171151E-2</c:v>
                </c:pt>
                <c:pt idx="1">
                  <c:v>1.9590962722918649E-2</c:v>
                </c:pt>
                <c:pt idx="2">
                  <c:v>3.8754616917903981E-2</c:v>
                </c:pt>
                <c:pt idx="3">
                  <c:v>5.6697216114991733E-2</c:v>
                </c:pt>
                <c:pt idx="4">
                  <c:v>0.26648589609037754</c:v>
                </c:pt>
                <c:pt idx="5">
                  <c:v>3.3963270711473629E-3</c:v>
                </c:pt>
                <c:pt idx="6">
                  <c:v>0.21761907775203401</c:v>
                </c:pt>
                <c:pt idx="7">
                  <c:v>3.2790070165282285E-2</c:v>
                </c:pt>
                <c:pt idx="8">
                  <c:v>0.2226840505840427</c:v>
                </c:pt>
                <c:pt idx="9">
                  <c:v>2.8983913645406614E-2</c:v>
                </c:pt>
                <c:pt idx="10">
                  <c:v>1.5149269160563032E-2</c:v>
                </c:pt>
                <c:pt idx="11">
                  <c:v>2.2490606199160899E-2</c:v>
                </c:pt>
              </c:numCache>
            </c:numRef>
          </c:val>
          <c:extLst>
            <c:ext xmlns:c16="http://schemas.microsoft.com/office/drawing/2014/chart" uri="{C3380CC4-5D6E-409C-BE32-E72D297353CC}">
              <c16:uniqueId val="{00000000-5B72-4DFB-9BEC-1D72B7AB9E38}"/>
            </c:ext>
          </c:extLst>
        </c:ser>
        <c:ser>
          <c:idx val="1"/>
          <c:order val="1"/>
          <c:tx>
            <c:strRef>
              <c:f>Pivot!$AH$3</c:f>
              <c:strCache>
                <c:ptCount val="1"/>
                <c:pt idx="0">
                  <c:v>Profit %</c:v>
                </c:pt>
              </c:strCache>
            </c:strRef>
          </c:tx>
          <c:spPr>
            <a:solidFill>
              <a:schemeClr val="accent2"/>
            </a:solidFill>
            <a:ln>
              <a:noFill/>
            </a:ln>
            <a:effectLst/>
            <a:sp3d/>
          </c:spPr>
          <c:invertIfNegative val="0"/>
          <c:cat>
            <c:strRef>
              <c:f>Pivot!$AF$4:$AF$16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Pivot!$AH$4:$AH$16</c:f>
              <c:numCache>
                <c:formatCode>0.00%</c:formatCode>
                <c:ptCount val="12"/>
                <c:pt idx="0">
                  <c:v>8.7996428217457026E-2</c:v>
                </c:pt>
                <c:pt idx="1">
                  <c:v>2.0106033575505763E-2</c:v>
                </c:pt>
                <c:pt idx="2">
                  <c:v>5.1902579526540066E-2</c:v>
                </c:pt>
                <c:pt idx="3">
                  <c:v>0.11848648098809483</c:v>
                </c:pt>
                <c:pt idx="4">
                  <c:v>0.32955948368498544</c:v>
                </c:pt>
                <c:pt idx="5">
                  <c:v>2.7280981422144672E-3</c:v>
                </c:pt>
                <c:pt idx="6">
                  <c:v>0.16782676175444822</c:v>
                </c:pt>
                <c:pt idx="7">
                  <c:v>1.3824652626084925E-2</c:v>
                </c:pt>
                <c:pt idx="8">
                  <c:v>0.13425007052132787</c:v>
                </c:pt>
                <c:pt idx="9">
                  <c:v>2.7635776966624021E-2</c:v>
                </c:pt>
                <c:pt idx="10">
                  <c:v>1.7024560820665034E-2</c:v>
                </c:pt>
                <c:pt idx="11">
                  <c:v>2.8659073176052392E-2</c:v>
                </c:pt>
              </c:numCache>
            </c:numRef>
          </c:val>
          <c:extLst>
            <c:ext xmlns:c16="http://schemas.microsoft.com/office/drawing/2014/chart" uri="{C3380CC4-5D6E-409C-BE32-E72D297353CC}">
              <c16:uniqueId val="{00000001-5B72-4DFB-9BEC-1D72B7AB9E38}"/>
            </c:ext>
          </c:extLst>
        </c:ser>
        <c:dLbls>
          <c:showLegendKey val="0"/>
          <c:showVal val="0"/>
          <c:showCatName val="0"/>
          <c:showSerName val="0"/>
          <c:showPercent val="0"/>
          <c:showBubbleSize val="0"/>
        </c:dLbls>
        <c:gapWidth val="150"/>
        <c:shape val="box"/>
        <c:axId val="1266902880"/>
        <c:axId val="1266883680"/>
        <c:axId val="0"/>
      </c:bar3DChart>
      <c:catAx>
        <c:axId val="1266902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83680"/>
        <c:crosses val="autoZero"/>
        <c:auto val="1"/>
        <c:lblAlgn val="ctr"/>
        <c:lblOffset val="100"/>
        <c:noMultiLvlLbl val="0"/>
      </c:catAx>
      <c:valAx>
        <c:axId val="1266883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0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[Sylip_Sales_Analysis.xlsx]Pivot!PivotTable35</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Pivot!$AK$3</c:f>
              <c:strCache>
                <c:ptCount val="1"/>
                <c:pt idx="0">
                  <c:v>Average of Total Revenue (£)</c:v>
                </c:pt>
              </c:strCache>
            </c:strRef>
          </c:tx>
          <c:spPr>
            <a:solidFill>
              <a:schemeClr val="accent1"/>
            </a:solidFill>
            <a:ln>
              <a:noFill/>
            </a:ln>
            <a:effectLst/>
            <a:sp3d/>
          </c:spPr>
          <c:invertIfNegative val="0"/>
          <c:cat>
            <c:strRef>
              <c:f>Pivot!$AJ$4:$AJ$12</c:f>
              <c:strCache>
                <c:ptCount val="8"/>
                <c:pt idx="0">
                  <c:v>2010</c:v>
                </c:pt>
                <c:pt idx="1">
                  <c:v>2011</c:v>
                </c:pt>
                <c:pt idx="2">
                  <c:v>2012</c:v>
                </c:pt>
                <c:pt idx="3">
                  <c:v>2013</c:v>
                </c:pt>
                <c:pt idx="4">
                  <c:v>2014</c:v>
                </c:pt>
                <c:pt idx="5">
                  <c:v>2015</c:v>
                </c:pt>
                <c:pt idx="6">
                  <c:v>2016</c:v>
                </c:pt>
                <c:pt idx="7">
                  <c:v>2017</c:v>
                </c:pt>
              </c:strCache>
            </c:strRef>
          </c:cat>
          <c:val>
            <c:numRef>
              <c:f>Pivot!$AK$4:$AK$12</c:f>
              <c:numCache>
                <c:formatCode>_(* #,##0.00_);_(* \(#,##0.00\);_(* "-"??_);_(@_)</c:formatCode>
                <c:ptCount val="8"/>
                <c:pt idx="0">
                  <c:v>1918602.4920000001</c:v>
                </c:pt>
                <c:pt idx="1">
                  <c:v>927430.50583333336</c:v>
                </c:pt>
                <c:pt idx="2">
                  <c:v>1449938.3872727272</c:v>
                </c:pt>
                <c:pt idx="3">
                  <c:v>1694204.0549999999</c:v>
                </c:pt>
                <c:pt idx="4">
                  <c:v>1108680.9620000001</c:v>
                </c:pt>
                <c:pt idx="5">
                  <c:v>1129816.6236363638</c:v>
                </c:pt>
                <c:pt idx="6">
                  <c:v>1237286.7219999998</c:v>
                </c:pt>
                <c:pt idx="7">
                  <c:v>1671677.4537499999</c:v>
                </c:pt>
              </c:numCache>
            </c:numRef>
          </c:val>
          <c:extLst>
            <c:ext xmlns:c16="http://schemas.microsoft.com/office/drawing/2014/chart" uri="{C3380CC4-5D6E-409C-BE32-E72D297353CC}">
              <c16:uniqueId val="{00000000-ECF2-41BB-B8E4-2E478AB957DE}"/>
            </c:ext>
          </c:extLst>
        </c:ser>
        <c:ser>
          <c:idx val="1"/>
          <c:order val="1"/>
          <c:tx>
            <c:strRef>
              <c:f>Pivot!$AL$3</c:f>
              <c:strCache>
                <c:ptCount val="1"/>
                <c:pt idx="0">
                  <c:v>Average of Total Profit (£)</c:v>
                </c:pt>
              </c:strCache>
            </c:strRef>
          </c:tx>
          <c:spPr>
            <a:solidFill>
              <a:schemeClr val="accent2"/>
            </a:solidFill>
            <a:ln>
              <a:noFill/>
            </a:ln>
            <a:effectLst/>
            <a:sp3d/>
          </c:spPr>
          <c:invertIfNegative val="0"/>
          <c:cat>
            <c:strRef>
              <c:f>Pivot!$AJ$4:$AJ$12</c:f>
              <c:strCache>
                <c:ptCount val="8"/>
                <c:pt idx="0">
                  <c:v>2010</c:v>
                </c:pt>
                <c:pt idx="1">
                  <c:v>2011</c:v>
                </c:pt>
                <c:pt idx="2">
                  <c:v>2012</c:v>
                </c:pt>
                <c:pt idx="3">
                  <c:v>2013</c:v>
                </c:pt>
                <c:pt idx="4">
                  <c:v>2014</c:v>
                </c:pt>
                <c:pt idx="5">
                  <c:v>2015</c:v>
                </c:pt>
                <c:pt idx="6">
                  <c:v>2016</c:v>
                </c:pt>
                <c:pt idx="7">
                  <c:v>2017</c:v>
                </c:pt>
              </c:strCache>
            </c:strRef>
          </c:cat>
          <c:val>
            <c:numRef>
              <c:f>Pivot!$AL$4:$AL$12</c:f>
              <c:numCache>
                <c:formatCode>_(* #,##0.00_);_(* \(#,##0.00\);_(* "-"??_);_(@_)</c:formatCode>
                <c:ptCount val="8"/>
                <c:pt idx="0">
                  <c:v>662956.74300000002</c:v>
                </c:pt>
                <c:pt idx="1">
                  <c:v>228417.35250000004</c:v>
                </c:pt>
                <c:pt idx="2">
                  <c:v>418773.18727272731</c:v>
                </c:pt>
                <c:pt idx="3">
                  <c:v>559618.33666666655</c:v>
                </c:pt>
                <c:pt idx="4">
                  <c:v>391964.11199999996</c:v>
                </c:pt>
                <c:pt idx="5">
                  <c:v>363321.76727272733</c:v>
                </c:pt>
                <c:pt idx="6">
                  <c:v>490383.80099999998</c:v>
                </c:pt>
                <c:pt idx="7">
                  <c:v>511169.18125000002</c:v>
                </c:pt>
              </c:numCache>
            </c:numRef>
          </c:val>
          <c:extLst>
            <c:ext xmlns:c16="http://schemas.microsoft.com/office/drawing/2014/chart" uri="{C3380CC4-5D6E-409C-BE32-E72D297353CC}">
              <c16:uniqueId val="{00000001-ECF2-41BB-B8E4-2E478AB957DE}"/>
            </c:ext>
          </c:extLst>
        </c:ser>
        <c:dLbls>
          <c:showLegendKey val="0"/>
          <c:showVal val="0"/>
          <c:showCatName val="0"/>
          <c:showSerName val="0"/>
          <c:showPercent val="0"/>
          <c:showBubbleSize val="0"/>
        </c:dLbls>
        <c:gapWidth val="150"/>
        <c:shape val="box"/>
        <c:axId val="1373687392"/>
        <c:axId val="1373696992"/>
        <c:axId val="0"/>
      </c:bar3DChart>
      <c:catAx>
        <c:axId val="137368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96992"/>
        <c:crosses val="autoZero"/>
        <c:auto val="1"/>
        <c:lblAlgn val="ctr"/>
        <c:lblOffset val="100"/>
        <c:noMultiLvlLbl val="0"/>
      </c:catAx>
      <c:valAx>
        <c:axId val="137369699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8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Pivot!$AR$3</c:f>
              <c:strCache>
                <c:ptCount val="1"/>
                <c:pt idx="0">
                  <c:v>Total</c:v>
                </c:pt>
              </c:strCache>
            </c:strRef>
          </c:tx>
          <c:spPr>
            <a:solidFill>
              <a:schemeClr val="accent1"/>
            </a:solidFill>
            <a:ln>
              <a:noFill/>
            </a:ln>
            <a:effectLst/>
            <a:sp3d/>
          </c:spPr>
          <c:invertIfNegative val="0"/>
          <c:cat>
            <c:strRef>
              <c:f>Pivot!$AQ$4:$AQ$8</c:f>
              <c:strCache>
                <c:ptCount val="4"/>
                <c:pt idx="0">
                  <c:v>North America</c:v>
                </c:pt>
                <c:pt idx="1">
                  <c:v>Central America and the Caribbean</c:v>
                </c:pt>
                <c:pt idx="2">
                  <c:v>Middle East and North Africa</c:v>
                </c:pt>
                <c:pt idx="3">
                  <c:v>Australia and Oceania</c:v>
                </c:pt>
              </c:strCache>
            </c:strRef>
          </c:cat>
          <c:val>
            <c:numRef>
              <c:f>Pivot!$AR$4:$AR$8</c:f>
              <c:numCache>
                <c:formatCode>_(* #,##0.00_);_(* \(#,##0.00\);_(* "-"??_);_(@_)</c:formatCode>
                <c:ptCount val="4"/>
                <c:pt idx="0">
                  <c:v>5643356.5500000007</c:v>
                </c:pt>
                <c:pt idx="1">
                  <c:v>9170385.4900000002</c:v>
                </c:pt>
                <c:pt idx="2">
                  <c:v>14052706.58</c:v>
                </c:pt>
                <c:pt idx="3">
                  <c:v>14094265.130000003</c:v>
                </c:pt>
              </c:numCache>
            </c:numRef>
          </c:val>
          <c:extLst>
            <c:ext xmlns:c16="http://schemas.microsoft.com/office/drawing/2014/chart" uri="{C3380CC4-5D6E-409C-BE32-E72D297353CC}">
              <c16:uniqueId val="{00000000-122A-44B0-B830-42B67243C663}"/>
            </c:ext>
          </c:extLst>
        </c:ser>
        <c:dLbls>
          <c:showLegendKey val="0"/>
          <c:showVal val="0"/>
          <c:showCatName val="0"/>
          <c:showSerName val="0"/>
          <c:showPercent val="0"/>
          <c:showBubbleSize val="0"/>
        </c:dLbls>
        <c:gapWidth val="150"/>
        <c:shape val="box"/>
        <c:axId val="1373692192"/>
        <c:axId val="1373698912"/>
        <c:axId val="0"/>
      </c:bar3DChart>
      <c:catAx>
        <c:axId val="1373692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98912"/>
        <c:crosses val="autoZero"/>
        <c:auto val="1"/>
        <c:lblAlgn val="ctr"/>
        <c:lblOffset val="100"/>
        <c:noMultiLvlLbl val="0"/>
      </c:catAx>
      <c:valAx>
        <c:axId val="137369891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9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Pivot!$AO$3</c:f>
              <c:strCache>
                <c:ptCount val="1"/>
                <c:pt idx="0">
                  <c:v>Total</c:v>
                </c:pt>
              </c:strCache>
            </c:strRef>
          </c:tx>
          <c:spPr>
            <a:solidFill>
              <a:schemeClr val="accent1"/>
            </a:solidFill>
            <a:ln>
              <a:noFill/>
            </a:ln>
            <a:effectLst/>
            <a:sp3d/>
          </c:spPr>
          <c:invertIfNegative val="0"/>
          <c:cat>
            <c:strRef>
              <c:f>Pivot!$AN$4:$AN$8</c:f>
              <c:strCache>
                <c:ptCount val="4"/>
                <c:pt idx="0">
                  <c:v>Sub-Saharan Africa</c:v>
                </c:pt>
                <c:pt idx="1">
                  <c:v>Europe</c:v>
                </c:pt>
                <c:pt idx="2">
                  <c:v>Asia</c:v>
                </c:pt>
                <c:pt idx="3">
                  <c:v>Australia and Oceania</c:v>
                </c:pt>
              </c:strCache>
            </c:strRef>
          </c:cat>
          <c:val>
            <c:numRef>
              <c:f>Pivot!$AO$4:$AO$8</c:f>
              <c:numCache>
                <c:formatCode>_(* #,##0.00_);_(* \(#,##0.00\);_(* "-"??_);_(@_)</c:formatCode>
                <c:ptCount val="4"/>
                <c:pt idx="0">
                  <c:v>39672031.430000007</c:v>
                </c:pt>
                <c:pt idx="1">
                  <c:v>33368932.109999999</c:v>
                </c:pt>
                <c:pt idx="2">
                  <c:v>21347091.020000003</c:v>
                </c:pt>
                <c:pt idx="3">
                  <c:v>14094265.130000003</c:v>
                </c:pt>
              </c:numCache>
            </c:numRef>
          </c:val>
          <c:extLst>
            <c:ext xmlns:c16="http://schemas.microsoft.com/office/drawing/2014/chart" uri="{C3380CC4-5D6E-409C-BE32-E72D297353CC}">
              <c16:uniqueId val="{00000000-BCF2-4612-99E9-00DC83C429E3}"/>
            </c:ext>
          </c:extLst>
        </c:ser>
        <c:dLbls>
          <c:showLegendKey val="0"/>
          <c:showVal val="0"/>
          <c:showCatName val="0"/>
          <c:showSerName val="0"/>
          <c:showPercent val="0"/>
          <c:showBubbleSize val="0"/>
        </c:dLbls>
        <c:gapWidth val="150"/>
        <c:shape val="box"/>
        <c:axId val="1173491264"/>
        <c:axId val="745278495"/>
        <c:axId val="0"/>
      </c:bar3DChart>
      <c:catAx>
        <c:axId val="1173491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78495"/>
        <c:crosses val="autoZero"/>
        <c:auto val="1"/>
        <c:lblAlgn val="ctr"/>
        <c:lblOffset val="100"/>
        <c:noMultiLvlLbl val="0"/>
      </c:catAx>
      <c:valAx>
        <c:axId val="74527849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49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[Sylip_Sales_Analysis.xlsx]Pivot!PivotTable39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Pivot!$AU$3</c:f>
              <c:strCache>
                <c:ptCount val="1"/>
                <c:pt idx="0">
                  <c:v>Total</c:v>
                </c:pt>
              </c:strCache>
            </c:strRef>
          </c:tx>
          <c:spPr>
            <a:solidFill>
              <a:schemeClr val="accent1"/>
            </a:solidFill>
            <a:ln>
              <a:noFill/>
            </a:ln>
            <a:effectLst/>
          </c:spPr>
          <c:invertIfNegative val="0"/>
          <c:cat>
            <c:strRef>
              <c:f>Pivot!$AT$4:$AT$8</c:f>
              <c:strCache>
                <c:ptCount val="4"/>
                <c:pt idx="0">
                  <c:v>Turkmenistan</c:v>
                </c:pt>
                <c:pt idx="1">
                  <c:v>Djibouti</c:v>
                </c:pt>
                <c:pt idx="2">
                  <c:v>Myanmar</c:v>
                </c:pt>
                <c:pt idx="3">
                  <c:v>Honduras</c:v>
                </c:pt>
              </c:strCache>
            </c:strRef>
          </c:cat>
          <c:val>
            <c:numRef>
              <c:f>Pivot!$AU$4:$AU$8</c:f>
              <c:numCache>
                <c:formatCode>_(* #,##0.00_);_(* \(#,##0.00\);_(* "-"??_);_(@_)</c:formatCode>
                <c:ptCount val="4"/>
                <c:pt idx="0">
                  <c:v>5822036.2000000002</c:v>
                </c:pt>
                <c:pt idx="1">
                  <c:v>6052890.8600000003</c:v>
                </c:pt>
                <c:pt idx="2">
                  <c:v>6161257.9000000004</c:v>
                </c:pt>
                <c:pt idx="3">
                  <c:v>6336545.4800000004</c:v>
                </c:pt>
              </c:numCache>
            </c:numRef>
          </c:val>
          <c:extLst>
            <c:ext xmlns:c16="http://schemas.microsoft.com/office/drawing/2014/chart" uri="{C3380CC4-5D6E-409C-BE32-E72D297353CC}">
              <c16:uniqueId val="{00000000-1A0A-4452-AA42-981A32B37DB7}"/>
            </c:ext>
          </c:extLst>
        </c:ser>
        <c:dLbls>
          <c:showLegendKey val="0"/>
          <c:showVal val="0"/>
          <c:showCatName val="0"/>
          <c:showSerName val="0"/>
          <c:showPercent val="0"/>
          <c:showBubbleSize val="0"/>
        </c:dLbls>
        <c:gapWidth val="182"/>
        <c:axId val="1173473504"/>
        <c:axId val="1173489344"/>
      </c:barChart>
      <c:catAx>
        <c:axId val="117347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489344"/>
        <c:crosses val="autoZero"/>
        <c:auto val="1"/>
        <c:lblAlgn val="ctr"/>
        <c:lblOffset val="100"/>
        <c:noMultiLvlLbl val="0"/>
      </c:catAx>
      <c:valAx>
        <c:axId val="1173489344"/>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47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[Sylip_Sales_Analysis.xlsx]Pivot!PivotTable40</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Pivot!$AX$3</c:f>
              <c:strCache>
                <c:ptCount val="1"/>
                <c:pt idx="0">
                  <c:v>Total</c:v>
                </c:pt>
              </c:strCache>
            </c:strRef>
          </c:tx>
          <c:spPr>
            <a:solidFill>
              <a:schemeClr val="accent1"/>
            </a:solidFill>
            <a:ln>
              <a:noFill/>
            </a:ln>
            <a:effectLst/>
          </c:spPr>
          <c:invertIfNegative val="0"/>
          <c:cat>
            <c:strRef>
              <c:f>Pivot!$AW$4:$AW$8</c:f>
              <c:strCache>
                <c:ptCount val="4"/>
                <c:pt idx="0">
                  <c:v>Kuwait</c:v>
                </c:pt>
                <c:pt idx="1">
                  <c:v>Kyrgyzstan</c:v>
                </c:pt>
                <c:pt idx="2">
                  <c:v>New Zealand</c:v>
                </c:pt>
                <c:pt idx="3">
                  <c:v>Slovakia</c:v>
                </c:pt>
              </c:strCache>
            </c:strRef>
          </c:cat>
          <c:val>
            <c:numRef>
              <c:f>Pivot!$AX$4:$AX$8</c:f>
              <c:numCache>
                <c:formatCode>_(* #,##0.00_);_(* \(#,##0.00\);_(* "-"??_);_(@_)</c:formatCode>
                <c:ptCount val="4"/>
                <c:pt idx="0">
                  <c:v>4870.26</c:v>
                </c:pt>
                <c:pt idx="1">
                  <c:v>19103.439999999999</c:v>
                </c:pt>
                <c:pt idx="2">
                  <c:v>20404.71</c:v>
                </c:pt>
                <c:pt idx="3">
                  <c:v>26344.26</c:v>
                </c:pt>
              </c:numCache>
            </c:numRef>
          </c:val>
          <c:extLst>
            <c:ext xmlns:c16="http://schemas.microsoft.com/office/drawing/2014/chart" uri="{C3380CC4-5D6E-409C-BE32-E72D297353CC}">
              <c16:uniqueId val="{00000000-DE00-4BED-950F-C7141943F8E9}"/>
            </c:ext>
          </c:extLst>
        </c:ser>
        <c:dLbls>
          <c:showLegendKey val="0"/>
          <c:showVal val="0"/>
          <c:showCatName val="0"/>
          <c:showSerName val="0"/>
          <c:showPercent val="0"/>
          <c:showBubbleSize val="0"/>
        </c:dLbls>
        <c:gapWidth val="150"/>
        <c:overlap val="100"/>
        <c:axId val="1532862464"/>
        <c:axId val="1532881184"/>
      </c:barChart>
      <c:catAx>
        <c:axId val="153286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81184"/>
        <c:crosses val="autoZero"/>
        <c:auto val="1"/>
        <c:lblAlgn val="ctr"/>
        <c:lblOffset val="100"/>
        <c:noMultiLvlLbl val="0"/>
      </c:catAx>
      <c:valAx>
        <c:axId val="1532881184"/>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86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Pivot!$BA$3</c:f>
              <c:strCache>
                <c:ptCount val="1"/>
                <c:pt idx="0">
                  <c:v>Total</c:v>
                </c:pt>
              </c:strCache>
            </c:strRef>
          </c:tx>
          <c:spPr>
            <a:solidFill>
              <a:schemeClr val="accent1"/>
            </a:solidFill>
            <a:ln>
              <a:noFill/>
            </a:ln>
            <a:effectLst/>
            <a:sp3d/>
          </c:spPr>
          <c:invertIfNegative val="0"/>
          <c:cat>
            <c:strRef>
              <c:f>Pivot!$AZ$4:$AZ$8</c:f>
              <c:strCache>
                <c:ptCount val="4"/>
                <c:pt idx="0">
                  <c:v>Cosmetics</c:v>
                </c:pt>
                <c:pt idx="1">
                  <c:v>Office Supplies</c:v>
                </c:pt>
                <c:pt idx="2">
                  <c:v>Household</c:v>
                </c:pt>
                <c:pt idx="3">
                  <c:v>Baby Food</c:v>
                </c:pt>
              </c:strCache>
            </c:strRef>
          </c:cat>
          <c:val>
            <c:numRef>
              <c:f>Pivot!$BA$4:$BA$8</c:f>
              <c:numCache>
                <c:formatCode>_(* #,##0.00_);_(* \(#,##0.00\);_(* "-"??_);_(@_)</c:formatCode>
                <c:ptCount val="4"/>
                <c:pt idx="0">
                  <c:v>36601509.600000001</c:v>
                </c:pt>
                <c:pt idx="1">
                  <c:v>30585380.07</c:v>
                </c:pt>
                <c:pt idx="2">
                  <c:v>29889712.289999995</c:v>
                </c:pt>
                <c:pt idx="3">
                  <c:v>10350327.6</c:v>
                </c:pt>
              </c:numCache>
            </c:numRef>
          </c:val>
          <c:extLst>
            <c:ext xmlns:c16="http://schemas.microsoft.com/office/drawing/2014/chart" uri="{C3380CC4-5D6E-409C-BE32-E72D297353CC}">
              <c16:uniqueId val="{00000000-67AF-43BD-A2F2-7DC1BF0DB33C}"/>
            </c:ext>
          </c:extLst>
        </c:ser>
        <c:dLbls>
          <c:showLegendKey val="0"/>
          <c:showVal val="0"/>
          <c:showCatName val="0"/>
          <c:showSerName val="0"/>
          <c:showPercent val="0"/>
          <c:showBubbleSize val="0"/>
        </c:dLbls>
        <c:gapWidth val="150"/>
        <c:shape val="box"/>
        <c:axId val="1265709632"/>
        <c:axId val="1265710592"/>
        <c:axId val="0"/>
      </c:bar3DChart>
      <c:catAx>
        <c:axId val="1265709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710592"/>
        <c:crosses val="autoZero"/>
        <c:auto val="1"/>
        <c:lblAlgn val="ctr"/>
        <c:lblOffset val="100"/>
        <c:noMultiLvlLbl val="0"/>
      </c:catAx>
      <c:valAx>
        <c:axId val="1265710592"/>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70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5400">
            <a:solidFill>
              <a:schemeClr val="lt1"/>
            </a:solidFill>
          </a:ln>
          <a:effectLst/>
          <a:sp3d contourW="25400">
            <a:contourClr>
              <a:schemeClr val="lt1"/>
            </a:contourClr>
          </a:sp3d>
        </c:spPr>
      </c:pivotFmt>
    </c:pivotFmts>
    <c:plotArea>
      <c:layout/>
      <c:barChart>
        <c:barDir val="col"/>
        <c:grouping val="clustered"/>
        <c:varyColors val="0"/>
        <c:ser>
          <c:idx val="0"/>
          <c:order val="0"/>
          <c:tx>
            <c:strRef>
              <c:f>Pivot!$BD$3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8478-4FF1-AB6B-41410554B5E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8478-4FF1-AB6B-41410554B5EE}"/>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8478-4FF1-AB6B-41410554B5EE}"/>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8478-4FF1-AB6B-41410554B5EE}"/>
              </c:ext>
            </c:extLst>
          </c:dPt>
          <c:cat>
            <c:strRef>
              <c:f>Pivot!$BC$4:$BC$8</c:f>
              <c:strCache>
                <c:ptCount val="4"/>
                <c:pt idx="0">
                  <c:v>Fruits</c:v>
                </c:pt>
                <c:pt idx="1">
                  <c:v>Snacks</c:v>
                </c:pt>
                <c:pt idx="2">
                  <c:v>Beverages</c:v>
                </c:pt>
                <c:pt idx="3">
                  <c:v>Vegetables</c:v>
                </c:pt>
              </c:strCache>
            </c:strRef>
          </c:cat>
          <c:val>
            <c:numRef>
              <c:f>Pivot!$BD$4:$BD$8</c:f>
              <c:numCache>
                <c:formatCode>_(* #,##0.00_);_(* \(#,##0.00\);_(* "-"??_);_(@_)</c:formatCode>
                <c:ptCount val="4"/>
                <c:pt idx="0">
                  <c:v>466481.34</c:v>
                </c:pt>
                <c:pt idx="1">
                  <c:v>2080733.46</c:v>
                </c:pt>
                <c:pt idx="2">
                  <c:v>2690794.6</c:v>
                </c:pt>
                <c:pt idx="3">
                  <c:v>3089057.06</c:v>
                </c:pt>
              </c:numCache>
            </c:numRef>
          </c:val>
          <c:extLst>
            <c:ext xmlns:c16="http://schemas.microsoft.com/office/drawing/2014/chart" uri="{C3380CC4-5D6E-409C-BE32-E72D297353CC}">
              <c16:uniqueId val="{00000000-13EA-439D-99C8-2A17E5193364}"/>
            </c:ext>
          </c:extLst>
        </c:ser>
        <c:dLbls>
          <c:showLegendKey val="0"/>
          <c:showVal val="0"/>
          <c:showCatName val="0"/>
          <c:showSerName val="0"/>
          <c:showPercent val="0"/>
          <c:showBubbleSize val="0"/>
        </c:dLbls>
        <c:gapWidth val="100"/>
        <c:axId val="1422782912"/>
        <c:axId val="1422812672"/>
      </c:barChart>
      <c:catAx>
        <c:axId val="142278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812672"/>
        <c:auto val="1"/>
        <c:lblAlgn val="ctr"/>
        <c:lblOffset val="100"/>
        <c:noMultiLvlLbl val="0"/>
      </c:catAx>
      <c:valAx>
        <c:axId val="142281267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782912"/>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barChart>
        <c:barDir val="col"/>
        <c:grouping val="clustered"/>
        <c:varyColors val="0"/>
        <c:ser>
          <c:idx val="0"/>
          <c:order val="0"/>
          <c:tx>
            <c:strRef>
              <c:f>Pivot!$BG$3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0F16-454F-8EC4-EBEA8FC2EA9B}"/>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F16-454F-8EC4-EBEA8FC2EA9B}"/>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0F16-454F-8EC4-EBEA8FC2EA9B}"/>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0F16-454F-8EC4-EBEA8FC2EA9B}"/>
              </c:ext>
            </c:extLst>
          </c:dPt>
          <c:cat>
            <c:strRef>
              <c:f>Pivot!$BF$4:$BF$8</c:f>
              <c:strCache>
                <c:ptCount val="4"/>
                <c:pt idx="0">
                  <c:v>2012</c:v>
                </c:pt>
                <c:pt idx="1">
                  <c:v>2013</c:v>
                </c:pt>
                <c:pt idx="2">
                  <c:v>2010</c:v>
                </c:pt>
                <c:pt idx="3">
                  <c:v>2014</c:v>
                </c:pt>
              </c:strCache>
            </c:strRef>
          </c:cat>
          <c:val>
            <c:numRef>
              <c:f>Pivot!$BG$4:$BG$8</c:f>
              <c:numCache>
                <c:formatCode>_(* #,##0.00_);_(* \(#,##0.00\);_(* "-"??_);_(@_)</c:formatCode>
                <c:ptCount val="4"/>
                <c:pt idx="0">
                  <c:v>31898644.52</c:v>
                </c:pt>
                <c:pt idx="1">
                  <c:v>20330448.66</c:v>
                </c:pt>
                <c:pt idx="2">
                  <c:v>19186024.920000002</c:v>
                </c:pt>
                <c:pt idx="3">
                  <c:v>16630214.430000002</c:v>
                </c:pt>
              </c:numCache>
            </c:numRef>
          </c:val>
          <c:extLst>
            <c:ext xmlns:c16="http://schemas.microsoft.com/office/drawing/2014/chart" uri="{C3380CC4-5D6E-409C-BE32-E72D297353CC}">
              <c16:uniqueId val="{00000000-295C-4F43-B684-C975375583B2}"/>
            </c:ext>
          </c:extLst>
        </c:ser>
        <c:dLbls>
          <c:showLegendKey val="0"/>
          <c:showVal val="0"/>
          <c:showCatName val="0"/>
          <c:showSerName val="0"/>
          <c:showPercent val="0"/>
          <c:showBubbleSize val="0"/>
        </c:dLbls>
        <c:gapWidth val="100"/>
        <c:axId val="1807692176"/>
        <c:axId val="1807695536"/>
      </c:barChart>
      <c:catAx>
        <c:axId val="1807692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695536"/>
        <c:auto val="1"/>
        <c:lblAlgn val="ctr"/>
        <c:lblOffset val="100"/>
        <c:noMultiLvlLbl val="0"/>
      </c:catAx>
      <c:valAx>
        <c:axId val="18076955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692176"/>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barChart>
        <c:barDir val="col"/>
        <c:grouping val="stacked"/>
        <c:varyColors val="0"/>
        <c:ser>
          <c:idx val="0"/>
          <c:order val="0"/>
          <c:tx>
            <c:strRef>
              <c:f>Pivot!$BJ$3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E62-44F8-8A2F-F90973F82C0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E62-44F8-8A2F-F90973F82C06}"/>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3E62-44F8-8A2F-F90973F82C06}"/>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3E62-44F8-8A2F-F90973F82C06}"/>
              </c:ext>
            </c:extLst>
          </c:dPt>
          <c:cat>
            <c:strRef>
              <c:f>Pivot!$BI$4:$BI$8</c:f>
              <c:strCache>
                <c:ptCount val="4"/>
                <c:pt idx="0">
                  <c:v>2011</c:v>
                </c:pt>
                <c:pt idx="1">
                  <c:v>2016</c:v>
                </c:pt>
                <c:pt idx="2">
                  <c:v>2015</c:v>
                </c:pt>
                <c:pt idx="3">
                  <c:v>2017</c:v>
                </c:pt>
              </c:strCache>
            </c:strRef>
          </c:cat>
          <c:val>
            <c:numRef>
              <c:f>Pivot!$BJ$4:$BJ$8</c:f>
              <c:numCache>
                <c:formatCode>_(* #,##0.00_);_(* \(#,##0.00\);_(* "-"??_);_(@_)</c:formatCode>
                <c:ptCount val="4"/>
                <c:pt idx="0">
                  <c:v>11129166.07</c:v>
                </c:pt>
                <c:pt idx="1">
                  <c:v>12372867.219999999</c:v>
                </c:pt>
                <c:pt idx="2">
                  <c:v>12427982.860000001</c:v>
                </c:pt>
                <c:pt idx="3">
                  <c:v>13373419.629999999</c:v>
                </c:pt>
              </c:numCache>
            </c:numRef>
          </c:val>
          <c:extLst>
            <c:ext xmlns:c16="http://schemas.microsoft.com/office/drawing/2014/chart" uri="{C3380CC4-5D6E-409C-BE32-E72D297353CC}">
              <c16:uniqueId val="{00000008-40BB-413A-80D2-922E31BC2681}"/>
            </c:ext>
          </c:extLst>
        </c:ser>
        <c:dLbls>
          <c:showLegendKey val="0"/>
          <c:showVal val="0"/>
          <c:showCatName val="0"/>
          <c:showSerName val="0"/>
          <c:showPercent val="0"/>
          <c:showBubbleSize val="0"/>
        </c:dLbls>
        <c:gapWidth val="100"/>
        <c:overlap val="100"/>
        <c:axId val="1248525072"/>
        <c:axId val="1248514992"/>
      </c:barChart>
      <c:catAx>
        <c:axId val="1248525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514992"/>
        <c:auto val="1"/>
        <c:lblAlgn val="ctr"/>
        <c:lblOffset val="100"/>
        <c:noMultiLvlLbl val="0"/>
      </c:catAx>
      <c:valAx>
        <c:axId val="124851499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525072"/>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lumMod val="75000"/>
              </a:schemeClr>
            </a:solidFill>
            <a:ln>
              <a:noFill/>
            </a:ln>
            <a:effectLst/>
          </c:spPr>
          <c:invertIfNegative val="0"/>
          <c:cat>
            <c:strLit>
              <c:ptCount val="62"/>
              <c:pt idx="0">
                <c:v>2010 Baby Food</c:v>
              </c:pt>
              <c:pt idx="1">
                <c:v>2010 Clothes</c:v>
              </c:pt>
              <c:pt idx="2">
                <c:v>2010 Cosmetics</c:v>
              </c:pt>
              <c:pt idx="3">
                <c:v>2010 Fruits</c:v>
              </c:pt>
              <c:pt idx="4">
                <c:v>2010 Household</c:v>
              </c:pt>
              <c:pt idx="5">
                <c:v>2010 Office Supplies</c:v>
              </c:pt>
              <c:pt idx="6">
                <c:v>2010 Personal Care</c:v>
              </c:pt>
              <c:pt idx="7">
                <c:v>2011 Beverages</c:v>
              </c:pt>
              <c:pt idx="8">
                <c:v>2011 Clothes</c:v>
              </c:pt>
              <c:pt idx="9">
                <c:v>2011 Fruits</c:v>
              </c:pt>
              <c:pt idx="10">
                <c:v>2011 Household</c:v>
              </c:pt>
              <c:pt idx="11">
                <c:v>2011 Office Supplies</c:v>
              </c:pt>
              <c:pt idx="12">
                <c:v>2011 Snacks</c:v>
              </c:pt>
              <c:pt idx="13">
                <c:v>2011 Vegetables</c:v>
              </c:pt>
              <c:pt idx="14">
                <c:v>2012 Baby Food</c:v>
              </c:pt>
              <c:pt idx="15">
                <c:v>2012 Cereal</c:v>
              </c:pt>
              <c:pt idx="16">
                <c:v>2012 Clothes</c:v>
              </c:pt>
              <c:pt idx="17">
                <c:v>2012 Cosmetics</c:v>
              </c:pt>
              <c:pt idx="18">
                <c:v>2012 Fruits</c:v>
              </c:pt>
              <c:pt idx="19">
                <c:v>2012 Household</c:v>
              </c:pt>
              <c:pt idx="20">
                <c:v>2012 Meat</c:v>
              </c:pt>
              <c:pt idx="21">
                <c:v>2012 Office Supplies</c:v>
              </c:pt>
              <c:pt idx="22">
                <c:v>2012 Personal Care</c:v>
              </c:pt>
              <c:pt idx="23">
                <c:v>2012 Vegetables</c:v>
              </c:pt>
              <c:pt idx="24">
                <c:v>2013 Baby Food</c:v>
              </c:pt>
              <c:pt idx="25">
                <c:v>2013 Cereal</c:v>
              </c:pt>
              <c:pt idx="26">
                <c:v>2013 Cosmetics</c:v>
              </c:pt>
              <c:pt idx="27">
                <c:v>2013 Fruits</c:v>
              </c:pt>
              <c:pt idx="28">
                <c:v>2013 Office Supplies</c:v>
              </c:pt>
              <c:pt idx="29">
                <c:v>2013 Personal Care</c:v>
              </c:pt>
              <c:pt idx="30">
                <c:v>2014 Baby Food</c:v>
              </c:pt>
              <c:pt idx="31">
                <c:v>2014 Beverages</c:v>
              </c:pt>
              <c:pt idx="32">
                <c:v>2014 Cereal</c:v>
              </c:pt>
              <c:pt idx="33">
                <c:v>2014 Clothes</c:v>
              </c:pt>
              <c:pt idx="34">
                <c:v>2014 Cosmetics</c:v>
              </c:pt>
              <c:pt idx="35">
                <c:v>2014 Fruits</c:v>
              </c:pt>
              <c:pt idx="36">
                <c:v>2014 Household</c:v>
              </c:pt>
              <c:pt idx="37">
                <c:v>2014 Office Supplies</c:v>
              </c:pt>
              <c:pt idx="38">
                <c:v>2014 Personal Care</c:v>
              </c:pt>
              <c:pt idx="39">
                <c:v>2015 Baby Food</c:v>
              </c:pt>
              <c:pt idx="40">
                <c:v>2015 Beverages</c:v>
              </c:pt>
              <c:pt idx="41">
                <c:v>2015 Clothes</c:v>
              </c:pt>
              <c:pt idx="42">
                <c:v>2015 Cosmetics</c:v>
              </c:pt>
              <c:pt idx="43">
                <c:v>2015 Fruits</c:v>
              </c:pt>
              <c:pt idx="44">
                <c:v>2015 Household</c:v>
              </c:pt>
              <c:pt idx="45">
                <c:v>2015 Office Supplies</c:v>
              </c:pt>
              <c:pt idx="46">
                <c:v>2015 Personal Care</c:v>
              </c:pt>
              <c:pt idx="47">
                <c:v>2016 Beverages</c:v>
              </c:pt>
              <c:pt idx="48">
                <c:v>2016 Cereal</c:v>
              </c:pt>
              <c:pt idx="49">
                <c:v>2016 Clothes</c:v>
              </c:pt>
              <c:pt idx="50">
                <c:v>2016 Cosmetics</c:v>
              </c:pt>
              <c:pt idx="51">
                <c:v>2016 Office Supplies</c:v>
              </c:pt>
              <c:pt idx="52">
                <c:v>2016 Personal Care</c:v>
              </c:pt>
              <c:pt idx="53">
                <c:v>2016 Snacks</c:v>
              </c:pt>
              <c:pt idx="54">
                <c:v>2016 Vegetables</c:v>
              </c:pt>
              <c:pt idx="55">
                <c:v>2017 Cereal</c:v>
              </c:pt>
              <c:pt idx="56">
                <c:v>2017 Clothes</c:v>
              </c:pt>
              <c:pt idx="57">
                <c:v>2017 Cosmetics</c:v>
              </c:pt>
              <c:pt idx="58">
                <c:v>2017 Household</c:v>
              </c:pt>
              <c:pt idx="59">
                <c:v>2017 Meat</c:v>
              </c:pt>
              <c:pt idx="60">
                <c:v>2017 Personal Care</c:v>
              </c:pt>
              <c:pt idx="61">
                <c:v>2017 Snacks</c:v>
              </c:pt>
            </c:strLit>
          </c:cat>
          <c:val>
            <c:numLit>
              <c:formatCode>General</c:formatCode>
              <c:ptCount val="62"/>
              <c:pt idx="0">
                <c:v>9925</c:v>
              </c:pt>
              <c:pt idx="1">
                <c:v>18290</c:v>
              </c:pt>
              <c:pt idx="2">
                <c:v>15144</c:v>
              </c:pt>
              <c:pt idx="3">
                <c:v>5822</c:v>
              </c:pt>
              <c:pt idx="4">
                <c:v>3830</c:v>
              </c:pt>
              <c:pt idx="5">
                <c:v>8287</c:v>
              </c:pt>
              <c:pt idx="6">
                <c:v>273</c:v>
              </c:pt>
              <c:pt idx="7">
                <c:v>22726</c:v>
              </c:pt>
              <c:pt idx="8">
                <c:v>888</c:v>
              </c:pt>
              <c:pt idx="9">
                <c:v>10051</c:v>
              </c:pt>
              <c:pt idx="10">
                <c:v>4187</c:v>
              </c:pt>
              <c:pt idx="11">
                <c:v>8975</c:v>
              </c:pt>
              <c:pt idx="12">
                <c:v>4085</c:v>
              </c:pt>
              <c:pt idx="13">
                <c:v>3856</c:v>
              </c:pt>
              <c:pt idx="14">
                <c:v>8614</c:v>
              </c:pt>
              <c:pt idx="15">
                <c:v>4921</c:v>
              </c:pt>
              <c:pt idx="16">
                <c:v>13039</c:v>
              </c:pt>
              <c:pt idx="17">
                <c:v>8661</c:v>
              </c:pt>
              <c:pt idx="18">
                <c:v>522</c:v>
              </c:pt>
              <c:pt idx="19">
                <c:v>12532</c:v>
              </c:pt>
              <c:pt idx="20">
                <c:v>5908</c:v>
              </c:pt>
              <c:pt idx="21">
                <c:v>13982</c:v>
              </c:pt>
              <c:pt idx="22">
                <c:v>15078</c:v>
              </c:pt>
              <c:pt idx="23">
                <c:v>14710</c:v>
              </c:pt>
              <c:pt idx="24">
                <c:v>4750</c:v>
              </c:pt>
              <c:pt idx="25">
                <c:v>4745</c:v>
              </c:pt>
              <c:pt idx="26">
                <c:v>25728</c:v>
              </c:pt>
              <c:pt idx="27">
                <c:v>17243</c:v>
              </c:pt>
              <c:pt idx="28">
                <c:v>10072</c:v>
              </c:pt>
              <c:pt idx="29">
                <c:v>2125</c:v>
              </c:pt>
              <c:pt idx="30">
                <c:v>13009</c:v>
              </c:pt>
              <c:pt idx="31">
                <c:v>23892</c:v>
              </c:pt>
              <c:pt idx="32">
                <c:v>6593</c:v>
              </c:pt>
              <c:pt idx="33">
                <c:v>12010</c:v>
              </c:pt>
              <c:pt idx="34">
                <c:v>7215</c:v>
              </c:pt>
              <c:pt idx="35">
                <c:v>15687</c:v>
              </c:pt>
              <c:pt idx="36">
                <c:v>6954</c:v>
              </c:pt>
              <c:pt idx="37">
                <c:v>1779</c:v>
              </c:pt>
              <c:pt idx="38">
                <c:v>4901</c:v>
              </c:pt>
              <c:pt idx="39">
                <c:v>4247</c:v>
              </c:pt>
              <c:pt idx="40">
                <c:v>5430</c:v>
              </c:pt>
              <c:pt idx="41">
                <c:v>13272</c:v>
              </c:pt>
              <c:pt idx="42">
                <c:v>2847</c:v>
              </c:pt>
              <c:pt idx="43">
                <c:v>673</c:v>
              </c:pt>
              <c:pt idx="44">
                <c:v>8250</c:v>
              </c:pt>
              <c:pt idx="45">
                <c:v>2924</c:v>
              </c:pt>
              <c:pt idx="46">
                <c:v>11837</c:v>
              </c:pt>
              <c:pt idx="47">
                <c:v>4660</c:v>
              </c:pt>
              <c:pt idx="48">
                <c:v>962</c:v>
              </c:pt>
              <c:pt idx="49">
                <c:v>5498</c:v>
              </c:pt>
              <c:pt idx="50">
                <c:v>22308</c:v>
              </c:pt>
              <c:pt idx="51">
                <c:v>948</c:v>
              </c:pt>
              <c:pt idx="52">
                <c:v>5070</c:v>
              </c:pt>
              <c:pt idx="53">
                <c:v>2225</c:v>
              </c:pt>
              <c:pt idx="54">
                <c:v>1485</c:v>
              </c:pt>
              <c:pt idx="55">
                <c:v>8656</c:v>
              </c:pt>
              <c:pt idx="56">
                <c:v>8263</c:v>
              </c:pt>
              <c:pt idx="57">
                <c:v>1815</c:v>
              </c:pt>
              <c:pt idx="58">
                <c:v>8974</c:v>
              </c:pt>
              <c:pt idx="59">
                <c:v>4767</c:v>
              </c:pt>
              <c:pt idx="60">
                <c:v>9424</c:v>
              </c:pt>
              <c:pt idx="61">
                <c:v>7327</c:v>
              </c:pt>
            </c:numLit>
          </c:val>
          <c:extLst>
            <c:ext xmlns:c16="http://schemas.microsoft.com/office/drawing/2014/chart" uri="{C3380CC4-5D6E-409C-BE32-E72D297353CC}">
              <c16:uniqueId val="{00000000-36F6-4E0F-987E-1D2733233548}"/>
            </c:ext>
          </c:extLst>
        </c:ser>
        <c:dLbls>
          <c:showLegendKey val="0"/>
          <c:showVal val="0"/>
          <c:showCatName val="0"/>
          <c:showSerName val="0"/>
          <c:showPercent val="0"/>
          <c:showBubbleSize val="0"/>
        </c:dLbls>
        <c:gapWidth val="219"/>
        <c:overlap val="-27"/>
        <c:axId val="1644172000"/>
        <c:axId val="1644193600"/>
      </c:barChart>
      <c:catAx>
        <c:axId val="164417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93600"/>
        <c:crosses val="autoZero"/>
        <c:auto val="1"/>
        <c:lblAlgn val="ctr"/>
        <c:lblOffset val="100"/>
        <c:noMultiLvlLbl val="0"/>
      </c:catAx>
      <c:valAx>
        <c:axId val="164419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7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[Sylip_Sales_Analysis.xlsx]Pivot!PivotTable46</c:name>
    <c:fmtId val="3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33136482939632"/>
          <c:y val="0.16564596092155148"/>
          <c:w val="0.42144641294838148"/>
          <c:h val="0.65853091280256637"/>
        </c:manualLayout>
      </c:layout>
      <c:lineChart>
        <c:grouping val="stacked"/>
        <c:varyColors val="0"/>
        <c:ser>
          <c:idx val="0"/>
          <c:order val="0"/>
          <c:tx>
            <c:strRef>
              <c:f>Pivot!$BM$3</c:f>
              <c:strCache>
                <c:ptCount val="1"/>
                <c:pt idx="0">
                  <c:v>Sum of Total Revenue (£)</c:v>
                </c:pt>
              </c:strCache>
            </c:strRef>
          </c:tx>
          <c:spPr>
            <a:ln w="28575" cap="rnd">
              <a:solidFill>
                <a:schemeClr val="accent1"/>
              </a:solidFill>
              <a:round/>
            </a:ln>
            <a:effectLst/>
          </c:spPr>
          <c:marker>
            <c:symbol val="none"/>
          </c:marker>
          <c:cat>
            <c:strRef>
              <c:f>Pivot!$BL$4:$BL$12</c:f>
              <c:strCache>
                <c:ptCount val="8"/>
                <c:pt idx="0">
                  <c:v>2010</c:v>
                </c:pt>
                <c:pt idx="1">
                  <c:v>2011</c:v>
                </c:pt>
                <c:pt idx="2">
                  <c:v>2012</c:v>
                </c:pt>
                <c:pt idx="3">
                  <c:v>2013</c:v>
                </c:pt>
                <c:pt idx="4">
                  <c:v>2014</c:v>
                </c:pt>
                <c:pt idx="5">
                  <c:v>2015</c:v>
                </c:pt>
                <c:pt idx="6">
                  <c:v>2016</c:v>
                </c:pt>
                <c:pt idx="7">
                  <c:v>2017</c:v>
                </c:pt>
              </c:strCache>
            </c:strRef>
          </c:cat>
          <c:val>
            <c:numRef>
              <c:f>Pivot!$BM$4:$BM$12</c:f>
              <c:numCache>
                <c:formatCode>_(* #,##0.00_);_(* \(#,##0.00\);_(* "-"??_);_(@_)</c:formatCode>
                <c:ptCount val="8"/>
                <c:pt idx="0">
                  <c:v>19186024.920000002</c:v>
                </c:pt>
                <c:pt idx="1">
                  <c:v>11129166.07</c:v>
                </c:pt>
                <c:pt idx="2">
                  <c:v>31898644.52</c:v>
                </c:pt>
                <c:pt idx="3">
                  <c:v>20330448.66</c:v>
                </c:pt>
                <c:pt idx="4">
                  <c:v>16630214.430000002</c:v>
                </c:pt>
                <c:pt idx="5">
                  <c:v>12427982.860000001</c:v>
                </c:pt>
                <c:pt idx="6">
                  <c:v>12372867.219999999</c:v>
                </c:pt>
                <c:pt idx="7">
                  <c:v>13373419.629999999</c:v>
                </c:pt>
              </c:numCache>
            </c:numRef>
          </c:val>
          <c:smooth val="0"/>
          <c:extLst>
            <c:ext xmlns:c16="http://schemas.microsoft.com/office/drawing/2014/chart" uri="{C3380CC4-5D6E-409C-BE32-E72D297353CC}">
              <c16:uniqueId val="{00000000-8D6D-4FBA-BD80-4260BD0075A3}"/>
            </c:ext>
          </c:extLst>
        </c:ser>
        <c:ser>
          <c:idx val="1"/>
          <c:order val="1"/>
          <c:tx>
            <c:strRef>
              <c:f>Pivot!$BN$3</c:f>
              <c:strCache>
                <c:ptCount val="1"/>
                <c:pt idx="0">
                  <c:v>YoY Growth%</c:v>
                </c:pt>
              </c:strCache>
            </c:strRef>
          </c:tx>
          <c:spPr>
            <a:ln w="28575" cap="rnd">
              <a:solidFill>
                <a:schemeClr val="accent2"/>
              </a:solidFill>
              <a:round/>
            </a:ln>
            <a:effectLst/>
          </c:spPr>
          <c:marker>
            <c:symbol val="none"/>
          </c:marker>
          <c:cat>
            <c:strRef>
              <c:f>Pivot!$BL$4:$BL$12</c:f>
              <c:strCache>
                <c:ptCount val="8"/>
                <c:pt idx="0">
                  <c:v>2010</c:v>
                </c:pt>
                <c:pt idx="1">
                  <c:v>2011</c:v>
                </c:pt>
                <c:pt idx="2">
                  <c:v>2012</c:v>
                </c:pt>
                <c:pt idx="3">
                  <c:v>2013</c:v>
                </c:pt>
                <c:pt idx="4">
                  <c:v>2014</c:v>
                </c:pt>
                <c:pt idx="5">
                  <c:v>2015</c:v>
                </c:pt>
                <c:pt idx="6">
                  <c:v>2016</c:v>
                </c:pt>
                <c:pt idx="7">
                  <c:v>2017</c:v>
                </c:pt>
              </c:strCache>
            </c:strRef>
          </c:cat>
          <c:val>
            <c:numRef>
              <c:f>Pivot!$BN$4:$BN$12</c:f>
              <c:numCache>
                <c:formatCode>0.00%</c:formatCode>
                <c:ptCount val="8"/>
                <c:pt idx="1">
                  <c:v>-0.41993372173729049</c:v>
                </c:pt>
                <c:pt idx="2">
                  <c:v>1.866220552318526</c:v>
                </c:pt>
                <c:pt idx="3">
                  <c:v>-0.36265477841062821</c:v>
                </c:pt>
                <c:pt idx="4">
                  <c:v>-0.18200455345976602</c:v>
                </c:pt>
                <c:pt idx="5">
                  <c:v>-0.25268655360326581</c:v>
                </c:pt>
                <c:pt idx="6">
                  <c:v>-4.4348017390170788E-3</c:v>
                </c:pt>
                <c:pt idx="7">
                  <c:v>8.0866657033437414E-2</c:v>
                </c:pt>
              </c:numCache>
            </c:numRef>
          </c:val>
          <c:smooth val="0"/>
          <c:extLst>
            <c:ext xmlns:c16="http://schemas.microsoft.com/office/drawing/2014/chart" uri="{C3380CC4-5D6E-409C-BE32-E72D297353CC}">
              <c16:uniqueId val="{00000001-8D6D-4FBA-BD80-4260BD0075A3}"/>
            </c:ext>
          </c:extLst>
        </c:ser>
        <c:dLbls>
          <c:showLegendKey val="0"/>
          <c:showVal val="0"/>
          <c:showCatName val="0"/>
          <c:showSerName val="0"/>
          <c:showPercent val="0"/>
          <c:showBubbleSize val="0"/>
        </c:dLbls>
        <c:smooth val="0"/>
        <c:axId val="902478175"/>
        <c:axId val="902474335"/>
      </c:lineChart>
      <c:catAx>
        <c:axId val="9024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474335"/>
        <c:crosses val="autoZero"/>
        <c:auto val="1"/>
        <c:lblAlgn val="ctr"/>
        <c:lblOffset val="100"/>
        <c:noMultiLvlLbl val="0"/>
      </c:catAx>
      <c:valAx>
        <c:axId val="90247433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47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Pivot!$N$3:$N$4</c:f>
              <c:strCache>
                <c:ptCount val="1"/>
                <c:pt idx="0">
                  <c:v>2010</c:v>
                </c:pt>
              </c:strCache>
            </c:strRef>
          </c:tx>
          <c:spPr>
            <a:solidFill>
              <a:schemeClr val="accent1"/>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Pivot!$N$5:$N$17</c:f>
              <c:numCache>
                <c:formatCode>_-* #,##0_-;\-* #,##0_-;_-* "-"??_-;_-@_-</c:formatCode>
                <c:ptCount val="12"/>
                <c:pt idx="0">
                  <c:v>9925</c:v>
                </c:pt>
                <c:pt idx="3">
                  <c:v>18290</c:v>
                </c:pt>
                <c:pt idx="4">
                  <c:v>15144</c:v>
                </c:pt>
                <c:pt idx="5">
                  <c:v>5822</c:v>
                </c:pt>
                <c:pt idx="6">
                  <c:v>3830</c:v>
                </c:pt>
                <c:pt idx="8">
                  <c:v>8287</c:v>
                </c:pt>
                <c:pt idx="9">
                  <c:v>273</c:v>
                </c:pt>
              </c:numCache>
            </c:numRef>
          </c:val>
          <c:extLst>
            <c:ext xmlns:c16="http://schemas.microsoft.com/office/drawing/2014/chart" uri="{C3380CC4-5D6E-409C-BE32-E72D297353CC}">
              <c16:uniqueId val="{00000000-F59A-4E66-A745-D1BD079322E9}"/>
            </c:ext>
          </c:extLst>
        </c:ser>
        <c:ser>
          <c:idx val="1"/>
          <c:order val="1"/>
          <c:tx>
            <c:strRef>
              <c:f>Pivot!$O$3:$O$4</c:f>
              <c:strCache>
                <c:ptCount val="1"/>
                <c:pt idx="0">
                  <c:v>2011</c:v>
                </c:pt>
              </c:strCache>
            </c:strRef>
          </c:tx>
          <c:spPr>
            <a:solidFill>
              <a:schemeClr val="accent2"/>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Pivot!$O$5:$O$17</c:f>
              <c:numCache>
                <c:formatCode>_-* #,##0_-;\-* #,##0_-;_-* "-"??_-;_-@_-</c:formatCode>
                <c:ptCount val="12"/>
                <c:pt idx="1">
                  <c:v>22726</c:v>
                </c:pt>
                <c:pt idx="3">
                  <c:v>888</c:v>
                </c:pt>
                <c:pt idx="5">
                  <c:v>10051</c:v>
                </c:pt>
                <c:pt idx="6">
                  <c:v>4187</c:v>
                </c:pt>
                <c:pt idx="8">
                  <c:v>8975</c:v>
                </c:pt>
                <c:pt idx="10">
                  <c:v>4085</c:v>
                </c:pt>
                <c:pt idx="11">
                  <c:v>3856</c:v>
                </c:pt>
              </c:numCache>
            </c:numRef>
          </c:val>
          <c:extLst>
            <c:ext xmlns:c16="http://schemas.microsoft.com/office/drawing/2014/chart" uri="{C3380CC4-5D6E-409C-BE32-E72D297353CC}">
              <c16:uniqueId val="{00000001-F59A-4E66-A745-D1BD079322E9}"/>
            </c:ext>
          </c:extLst>
        </c:ser>
        <c:ser>
          <c:idx val="2"/>
          <c:order val="2"/>
          <c:tx>
            <c:strRef>
              <c:f>Pivot!$P$3:$P$4</c:f>
              <c:strCache>
                <c:ptCount val="1"/>
                <c:pt idx="0">
                  <c:v>2012</c:v>
                </c:pt>
              </c:strCache>
            </c:strRef>
          </c:tx>
          <c:spPr>
            <a:solidFill>
              <a:schemeClr val="accent3"/>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Pivot!$P$5:$P$17</c:f>
              <c:numCache>
                <c:formatCode>_-* #,##0_-;\-* #,##0_-;_-* "-"??_-;_-@_-</c:formatCode>
                <c:ptCount val="12"/>
                <c:pt idx="0">
                  <c:v>8614</c:v>
                </c:pt>
                <c:pt idx="2">
                  <c:v>4921</c:v>
                </c:pt>
                <c:pt idx="3">
                  <c:v>13039</c:v>
                </c:pt>
                <c:pt idx="4">
                  <c:v>8661</c:v>
                </c:pt>
                <c:pt idx="5">
                  <c:v>522</c:v>
                </c:pt>
                <c:pt idx="6">
                  <c:v>12532</c:v>
                </c:pt>
                <c:pt idx="7">
                  <c:v>5908</c:v>
                </c:pt>
                <c:pt idx="8">
                  <c:v>13982</c:v>
                </c:pt>
                <c:pt idx="9">
                  <c:v>15078</c:v>
                </c:pt>
                <c:pt idx="11">
                  <c:v>14710</c:v>
                </c:pt>
              </c:numCache>
            </c:numRef>
          </c:val>
          <c:extLst>
            <c:ext xmlns:c16="http://schemas.microsoft.com/office/drawing/2014/chart" uri="{C3380CC4-5D6E-409C-BE32-E72D297353CC}">
              <c16:uniqueId val="{00000002-F59A-4E66-A745-D1BD079322E9}"/>
            </c:ext>
          </c:extLst>
        </c:ser>
        <c:ser>
          <c:idx val="3"/>
          <c:order val="3"/>
          <c:tx>
            <c:strRef>
              <c:f>Pivot!$Q$3:$Q$4</c:f>
              <c:strCache>
                <c:ptCount val="1"/>
                <c:pt idx="0">
                  <c:v>2013</c:v>
                </c:pt>
              </c:strCache>
            </c:strRef>
          </c:tx>
          <c:spPr>
            <a:solidFill>
              <a:schemeClr val="accent4"/>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Pivot!$Q$5:$Q$17</c:f>
              <c:numCache>
                <c:formatCode>_-* #,##0_-;\-* #,##0_-;_-* "-"??_-;_-@_-</c:formatCode>
                <c:ptCount val="12"/>
                <c:pt idx="0">
                  <c:v>4750</c:v>
                </c:pt>
                <c:pt idx="2">
                  <c:v>4745</c:v>
                </c:pt>
                <c:pt idx="4">
                  <c:v>25728</c:v>
                </c:pt>
                <c:pt idx="5">
                  <c:v>17243</c:v>
                </c:pt>
                <c:pt idx="8">
                  <c:v>10072</c:v>
                </c:pt>
                <c:pt idx="9">
                  <c:v>2125</c:v>
                </c:pt>
              </c:numCache>
            </c:numRef>
          </c:val>
          <c:extLst>
            <c:ext xmlns:c16="http://schemas.microsoft.com/office/drawing/2014/chart" uri="{C3380CC4-5D6E-409C-BE32-E72D297353CC}">
              <c16:uniqueId val="{00000003-F59A-4E66-A745-D1BD079322E9}"/>
            </c:ext>
          </c:extLst>
        </c:ser>
        <c:ser>
          <c:idx val="4"/>
          <c:order val="4"/>
          <c:tx>
            <c:strRef>
              <c:f>Pivot!$R$3:$R$4</c:f>
              <c:strCache>
                <c:ptCount val="1"/>
                <c:pt idx="0">
                  <c:v>2014</c:v>
                </c:pt>
              </c:strCache>
            </c:strRef>
          </c:tx>
          <c:spPr>
            <a:solidFill>
              <a:schemeClr val="accent5"/>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Pivot!$R$5:$R$17</c:f>
              <c:numCache>
                <c:formatCode>_-* #,##0_-;\-* #,##0_-;_-* "-"??_-;_-@_-</c:formatCode>
                <c:ptCount val="12"/>
                <c:pt idx="0">
                  <c:v>13009</c:v>
                </c:pt>
                <c:pt idx="1">
                  <c:v>23892</c:v>
                </c:pt>
                <c:pt idx="2">
                  <c:v>6593</c:v>
                </c:pt>
                <c:pt idx="3">
                  <c:v>12010</c:v>
                </c:pt>
                <c:pt idx="4">
                  <c:v>7215</c:v>
                </c:pt>
                <c:pt idx="5">
                  <c:v>15687</c:v>
                </c:pt>
                <c:pt idx="6">
                  <c:v>6954</c:v>
                </c:pt>
                <c:pt idx="8">
                  <c:v>1779</c:v>
                </c:pt>
                <c:pt idx="9">
                  <c:v>4901</c:v>
                </c:pt>
              </c:numCache>
            </c:numRef>
          </c:val>
          <c:extLst>
            <c:ext xmlns:c16="http://schemas.microsoft.com/office/drawing/2014/chart" uri="{C3380CC4-5D6E-409C-BE32-E72D297353CC}">
              <c16:uniqueId val="{00000004-F59A-4E66-A745-D1BD079322E9}"/>
            </c:ext>
          </c:extLst>
        </c:ser>
        <c:ser>
          <c:idx val="5"/>
          <c:order val="5"/>
          <c:tx>
            <c:strRef>
              <c:f>Pivot!$S$3:$S$4</c:f>
              <c:strCache>
                <c:ptCount val="1"/>
                <c:pt idx="0">
                  <c:v>2015</c:v>
                </c:pt>
              </c:strCache>
            </c:strRef>
          </c:tx>
          <c:spPr>
            <a:solidFill>
              <a:schemeClr val="accent6"/>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Pivot!$S$5:$S$17</c:f>
              <c:numCache>
                <c:formatCode>_-* #,##0_-;\-* #,##0_-;_-* "-"??_-;_-@_-</c:formatCode>
                <c:ptCount val="12"/>
                <c:pt idx="0">
                  <c:v>4247</c:v>
                </c:pt>
                <c:pt idx="1">
                  <c:v>5430</c:v>
                </c:pt>
                <c:pt idx="3">
                  <c:v>13272</c:v>
                </c:pt>
                <c:pt idx="4">
                  <c:v>2847</c:v>
                </c:pt>
                <c:pt idx="5">
                  <c:v>673</c:v>
                </c:pt>
                <c:pt idx="6">
                  <c:v>8250</c:v>
                </c:pt>
                <c:pt idx="8">
                  <c:v>2924</c:v>
                </c:pt>
                <c:pt idx="9">
                  <c:v>11837</c:v>
                </c:pt>
              </c:numCache>
            </c:numRef>
          </c:val>
          <c:extLst>
            <c:ext xmlns:c16="http://schemas.microsoft.com/office/drawing/2014/chart" uri="{C3380CC4-5D6E-409C-BE32-E72D297353CC}">
              <c16:uniqueId val="{00000005-F59A-4E66-A745-D1BD079322E9}"/>
            </c:ext>
          </c:extLst>
        </c:ser>
        <c:ser>
          <c:idx val="6"/>
          <c:order val="6"/>
          <c:tx>
            <c:strRef>
              <c:f>Pivot!$T$3:$T$4</c:f>
              <c:strCache>
                <c:ptCount val="1"/>
                <c:pt idx="0">
                  <c:v>2016</c:v>
                </c:pt>
              </c:strCache>
            </c:strRef>
          </c:tx>
          <c:spPr>
            <a:solidFill>
              <a:schemeClr val="accent1">
                <a:lumMod val="60000"/>
              </a:schemeClr>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Pivot!$T$5:$T$17</c:f>
              <c:numCache>
                <c:formatCode>_-* #,##0_-;\-* #,##0_-;_-* "-"??_-;_-@_-</c:formatCode>
                <c:ptCount val="12"/>
                <c:pt idx="1">
                  <c:v>4660</c:v>
                </c:pt>
                <c:pt idx="2">
                  <c:v>962</c:v>
                </c:pt>
                <c:pt idx="3">
                  <c:v>5498</c:v>
                </c:pt>
                <c:pt idx="4">
                  <c:v>22308</c:v>
                </c:pt>
                <c:pt idx="8">
                  <c:v>948</c:v>
                </c:pt>
                <c:pt idx="9">
                  <c:v>5070</c:v>
                </c:pt>
                <c:pt idx="10">
                  <c:v>2225</c:v>
                </c:pt>
                <c:pt idx="11">
                  <c:v>1485</c:v>
                </c:pt>
              </c:numCache>
            </c:numRef>
          </c:val>
          <c:extLst>
            <c:ext xmlns:c16="http://schemas.microsoft.com/office/drawing/2014/chart" uri="{C3380CC4-5D6E-409C-BE32-E72D297353CC}">
              <c16:uniqueId val="{00000006-F59A-4E66-A745-D1BD079322E9}"/>
            </c:ext>
          </c:extLst>
        </c:ser>
        <c:ser>
          <c:idx val="7"/>
          <c:order val="7"/>
          <c:tx>
            <c:strRef>
              <c:f>Pivot!$U$3:$U$4</c:f>
              <c:strCache>
                <c:ptCount val="1"/>
                <c:pt idx="0">
                  <c:v>2017</c:v>
                </c:pt>
              </c:strCache>
            </c:strRef>
          </c:tx>
          <c:spPr>
            <a:solidFill>
              <a:schemeClr val="accent2">
                <a:lumMod val="60000"/>
              </a:schemeClr>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Pivot!$U$5:$U$17</c:f>
              <c:numCache>
                <c:formatCode>_-* #,##0_-;\-* #,##0_-;_-* "-"??_-;_-@_-</c:formatCode>
                <c:ptCount val="12"/>
                <c:pt idx="2">
                  <c:v>8656</c:v>
                </c:pt>
                <c:pt idx="3">
                  <c:v>8263</c:v>
                </c:pt>
                <c:pt idx="4">
                  <c:v>1815</c:v>
                </c:pt>
                <c:pt idx="6">
                  <c:v>8974</c:v>
                </c:pt>
                <c:pt idx="7">
                  <c:v>4767</c:v>
                </c:pt>
                <c:pt idx="9">
                  <c:v>9424</c:v>
                </c:pt>
                <c:pt idx="10">
                  <c:v>7327</c:v>
                </c:pt>
              </c:numCache>
            </c:numRef>
          </c:val>
          <c:extLst>
            <c:ext xmlns:c16="http://schemas.microsoft.com/office/drawing/2014/chart" uri="{C3380CC4-5D6E-409C-BE32-E72D297353CC}">
              <c16:uniqueId val="{00000007-F59A-4E66-A745-D1BD079322E9}"/>
            </c:ext>
          </c:extLst>
        </c:ser>
        <c:dLbls>
          <c:showLegendKey val="0"/>
          <c:showVal val="0"/>
          <c:showCatName val="0"/>
          <c:showSerName val="0"/>
          <c:showPercent val="0"/>
          <c:showBubbleSize val="0"/>
        </c:dLbls>
        <c:gapWidth val="150"/>
        <c:overlap val="100"/>
        <c:axId val="1452250688"/>
        <c:axId val="1452238688"/>
      </c:barChart>
      <c:catAx>
        <c:axId val="145225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38688"/>
        <c:crosses val="autoZero"/>
        <c:auto val="1"/>
        <c:lblAlgn val="ctr"/>
        <c:lblOffset val="100"/>
        <c:noMultiLvlLbl val="0"/>
      </c:catAx>
      <c:valAx>
        <c:axId val="145223868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5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[Sylip_Sales_Analysis.xlsx]Pivot!PivotTable2</c:name>
    <c:fmtId val="2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sz="1100"/>
              <a:t>ANNUAL SALES VOLUME </a:t>
            </a:r>
          </a:p>
        </c:rich>
      </c:tx>
      <c:layout>
        <c:manualLayout>
          <c:xMode val="edge"/>
          <c:yMode val="edge"/>
          <c:x val="0.38897017833129244"/>
          <c:y val="6.3794109069699623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57091235236779E-2"/>
          <c:y val="0.19078484981044039"/>
          <c:w val="0.81927868993502473"/>
          <c:h val="0.49370880723242921"/>
        </c:manualLayout>
      </c:layout>
      <c:barChart>
        <c:barDir val="col"/>
        <c:grouping val="stacked"/>
        <c:varyColors val="0"/>
        <c:ser>
          <c:idx val="0"/>
          <c:order val="0"/>
          <c:tx>
            <c:strRef>
              <c:f>Pivot!$N$3:$N$4</c:f>
              <c:strCache>
                <c:ptCount val="1"/>
                <c:pt idx="0">
                  <c:v>2010</c:v>
                </c:pt>
              </c:strCache>
            </c:strRef>
          </c:tx>
          <c:spPr>
            <a:solidFill>
              <a:schemeClr val="accent1"/>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Pivot!$N$5:$N$17</c:f>
              <c:numCache>
                <c:formatCode>_-* #,##0_-;\-* #,##0_-;_-* "-"??_-;_-@_-</c:formatCode>
                <c:ptCount val="12"/>
                <c:pt idx="0">
                  <c:v>9925</c:v>
                </c:pt>
                <c:pt idx="3">
                  <c:v>18290</c:v>
                </c:pt>
                <c:pt idx="4">
                  <c:v>15144</c:v>
                </c:pt>
                <c:pt idx="5">
                  <c:v>5822</c:v>
                </c:pt>
                <c:pt idx="6">
                  <c:v>3830</c:v>
                </c:pt>
                <c:pt idx="8">
                  <c:v>8287</c:v>
                </c:pt>
                <c:pt idx="9">
                  <c:v>273</c:v>
                </c:pt>
              </c:numCache>
            </c:numRef>
          </c:val>
          <c:extLst>
            <c:ext xmlns:c16="http://schemas.microsoft.com/office/drawing/2014/chart" uri="{C3380CC4-5D6E-409C-BE32-E72D297353CC}">
              <c16:uniqueId val="{00000000-9482-43B8-8763-5329A0B7AA7C}"/>
            </c:ext>
          </c:extLst>
        </c:ser>
        <c:ser>
          <c:idx val="1"/>
          <c:order val="1"/>
          <c:tx>
            <c:strRef>
              <c:f>Pivot!$O$3:$O$4</c:f>
              <c:strCache>
                <c:ptCount val="1"/>
                <c:pt idx="0">
                  <c:v>2011</c:v>
                </c:pt>
              </c:strCache>
            </c:strRef>
          </c:tx>
          <c:spPr>
            <a:solidFill>
              <a:schemeClr val="accent2"/>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Pivot!$O$5:$O$17</c:f>
              <c:numCache>
                <c:formatCode>_-* #,##0_-;\-* #,##0_-;_-* "-"??_-;_-@_-</c:formatCode>
                <c:ptCount val="12"/>
                <c:pt idx="1">
                  <c:v>22726</c:v>
                </c:pt>
                <c:pt idx="3">
                  <c:v>888</c:v>
                </c:pt>
                <c:pt idx="5">
                  <c:v>10051</c:v>
                </c:pt>
                <c:pt idx="6">
                  <c:v>4187</c:v>
                </c:pt>
                <c:pt idx="8">
                  <c:v>8975</c:v>
                </c:pt>
                <c:pt idx="10">
                  <c:v>4085</c:v>
                </c:pt>
                <c:pt idx="11">
                  <c:v>3856</c:v>
                </c:pt>
              </c:numCache>
            </c:numRef>
          </c:val>
          <c:extLst>
            <c:ext xmlns:c16="http://schemas.microsoft.com/office/drawing/2014/chart" uri="{C3380CC4-5D6E-409C-BE32-E72D297353CC}">
              <c16:uniqueId val="{00000001-9482-43B8-8763-5329A0B7AA7C}"/>
            </c:ext>
          </c:extLst>
        </c:ser>
        <c:ser>
          <c:idx val="2"/>
          <c:order val="2"/>
          <c:tx>
            <c:strRef>
              <c:f>Pivot!$P$3:$P$4</c:f>
              <c:strCache>
                <c:ptCount val="1"/>
                <c:pt idx="0">
                  <c:v>2012</c:v>
                </c:pt>
              </c:strCache>
            </c:strRef>
          </c:tx>
          <c:spPr>
            <a:solidFill>
              <a:schemeClr val="accent3"/>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Pivot!$P$5:$P$17</c:f>
              <c:numCache>
                <c:formatCode>_-* #,##0_-;\-* #,##0_-;_-* "-"??_-;_-@_-</c:formatCode>
                <c:ptCount val="12"/>
                <c:pt idx="0">
                  <c:v>8614</c:v>
                </c:pt>
                <c:pt idx="2">
                  <c:v>4921</c:v>
                </c:pt>
                <c:pt idx="3">
                  <c:v>13039</c:v>
                </c:pt>
                <c:pt idx="4">
                  <c:v>8661</c:v>
                </c:pt>
                <c:pt idx="5">
                  <c:v>522</c:v>
                </c:pt>
                <c:pt idx="6">
                  <c:v>12532</c:v>
                </c:pt>
                <c:pt idx="7">
                  <c:v>5908</c:v>
                </c:pt>
                <c:pt idx="8">
                  <c:v>13982</c:v>
                </c:pt>
                <c:pt idx="9">
                  <c:v>15078</c:v>
                </c:pt>
                <c:pt idx="11">
                  <c:v>14710</c:v>
                </c:pt>
              </c:numCache>
            </c:numRef>
          </c:val>
          <c:extLst>
            <c:ext xmlns:c16="http://schemas.microsoft.com/office/drawing/2014/chart" uri="{C3380CC4-5D6E-409C-BE32-E72D297353CC}">
              <c16:uniqueId val="{00000002-9482-43B8-8763-5329A0B7AA7C}"/>
            </c:ext>
          </c:extLst>
        </c:ser>
        <c:ser>
          <c:idx val="3"/>
          <c:order val="3"/>
          <c:tx>
            <c:strRef>
              <c:f>Pivot!$Q$3:$Q$4</c:f>
              <c:strCache>
                <c:ptCount val="1"/>
                <c:pt idx="0">
                  <c:v>2013</c:v>
                </c:pt>
              </c:strCache>
            </c:strRef>
          </c:tx>
          <c:spPr>
            <a:solidFill>
              <a:schemeClr val="accent4"/>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Pivot!$Q$5:$Q$17</c:f>
              <c:numCache>
                <c:formatCode>_-* #,##0_-;\-* #,##0_-;_-* "-"??_-;_-@_-</c:formatCode>
                <c:ptCount val="12"/>
                <c:pt idx="0">
                  <c:v>4750</c:v>
                </c:pt>
                <c:pt idx="2">
                  <c:v>4745</c:v>
                </c:pt>
                <c:pt idx="4">
                  <c:v>25728</c:v>
                </c:pt>
                <c:pt idx="5">
                  <c:v>17243</c:v>
                </c:pt>
                <c:pt idx="8">
                  <c:v>10072</c:v>
                </c:pt>
                <c:pt idx="9">
                  <c:v>2125</c:v>
                </c:pt>
              </c:numCache>
            </c:numRef>
          </c:val>
          <c:extLst>
            <c:ext xmlns:c16="http://schemas.microsoft.com/office/drawing/2014/chart" uri="{C3380CC4-5D6E-409C-BE32-E72D297353CC}">
              <c16:uniqueId val="{00000003-9482-43B8-8763-5329A0B7AA7C}"/>
            </c:ext>
          </c:extLst>
        </c:ser>
        <c:ser>
          <c:idx val="4"/>
          <c:order val="4"/>
          <c:tx>
            <c:strRef>
              <c:f>Pivot!$R$3:$R$4</c:f>
              <c:strCache>
                <c:ptCount val="1"/>
                <c:pt idx="0">
                  <c:v>2014</c:v>
                </c:pt>
              </c:strCache>
            </c:strRef>
          </c:tx>
          <c:spPr>
            <a:solidFill>
              <a:schemeClr val="accent5"/>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Pivot!$R$5:$R$17</c:f>
              <c:numCache>
                <c:formatCode>_-* #,##0_-;\-* #,##0_-;_-* "-"??_-;_-@_-</c:formatCode>
                <c:ptCount val="12"/>
                <c:pt idx="0">
                  <c:v>13009</c:v>
                </c:pt>
                <c:pt idx="1">
                  <c:v>23892</c:v>
                </c:pt>
                <c:pt idx="2">
                  <c:v>6593</c:v>
                </c:pt>
                <c:pt idx="3">
                  <c:v>12010</c:v>
                </c:pt>
                <c:pt idx="4">
                  <c:v>7215</c:v>
                </c:pt>
                <c:pt idx="5">
                  <c:v>15687</c:v>
                </c:pt>
                <c:pt idx="6">
                  <c:v>6954</c:v>
                </c:pt>
                <c:pt idx="8">
                  <c:v>1779</c:v>
                </c:pt>
                <c:pt idx="9">
                  <c:v>4901</c:v>
                </c:pt>
              </c:numCache>
            </c:numRef>
          </c:val>
          <c:extLst>
            <c:ext xmlns:c16="http://schemas.microsoft.com/office/drawing/2014/chart" uri="{C3380CC4-5D6E-409C-BE32-E72D297353CC}">
              <c16:uniqueId val="{00000004-9482-43B8-8763-5329A0B7AA7C}"/>
            </c:ext>
          </c:extLst>
        </c:ser>
        <c:ser>
          <c:idx val="5"/>
          <c:order val="5"/>
          <c:tx>
            <c:strRef>
              <c:f>Pivot!$S$3:$S$4</c:f>
              <c:strCache>
                <c:ptCount val="1"/>
                <c:pt idx="0">
                  <c:v>2015</c:v>
                </c:pt>
              </c:strCache>
            </c:strRef>
          </c:tx>
          <c:spPr>
            <a:solidFill>
              <a:schemeClr val="accent6"/>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Pivot!$S$5:$S$17</c:f>
              <c:numCache>
                <c:formatCode>_-* #,##0_-;\-* #,##0_-;_-* "-"??_-;_-@_-</c:formatCode>
                <c:ptCount val="12"/>
                <c:pt idx="0">
                  <c:v>4247</c:v>
                </c:pt>
                <c:pt idx="1">
                  <c:v>5430</c:v>
                </c:pt>
                <c:pt idx="3">
                  <c:v>13272</c:v>
                </c:pt>
                <c:pt idx="4">
                  <c:v>2847</c:v>
                </c:pt>
                <c:pt idx="5">
                  <c:v>673</c:v>
                </c:pt>
                <c:pt idx="6">
                  <c:v>8250</c:v>
                </c:pt>
                <c:pt idx="8">
                  <c:v>2924</c:v>
                </c:pt>
                <c:pt idx="9">
                  <c:v>11837</c:v>
                </c:pt>
              </c:numCache>
            </c:numRef>
          </c:val>
          <c:extLst>
            <c:ext xmlns:c16="http://schemas.microsoft.com/office/drawing/2014/chart" uri="{C3380CC4-5D6E-409C-BE32-E72D297353CC}">
              <c16:uniqueId val="{00000005-9482-43B8-8763-5329A0B7AA7C}"/>
            </c:ext>
          </c:extLst>
        </c:ser>
        <c:ser>
          <c:idx val="6"/>
          <c:order val="6"/>
          <c:tx>
            <c:strRef>
              <c:f>Pivot!$T$3:$T$4</c:f>
              <c:strCache>
                <c:ptCount val="1"/>
                <c:pt idx="0">
                  <c:v>2016</c:v>
                </c:pt>
              </c:strCache>
            </c:strRef>
          </c:tx>
          <c:spPr>
            <a:solidFill>
              <a:schemeClr val="accent1">
                <a:lumMod val="60000"/>
              </a:schemeClr>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Pivot!$T$5:$T$17</c:f>
              <c:numCache>
                <c:formatCode>_-* #,##0_-;\-* #,##0_-;_-* "-"??_-;_-@_-</c:formatCode>
                <c:ptCount val="12"/>
                <c:pt idx="1">
                  <c:v>4660</c:v>
                </c:pt>
                <c:pt idx="2">
                  <c:v>962</c:v>
                </c:pt>
                <c:pt idx="3">
                  <c:v>5498</c:v>
                </c:pt>
                <c:pt idx="4">
                  <c:v>22308</c:v>
                </c:pt>
                <c:pt idx="8">
                  <c:v>948</c:v>
                </c:pt>
                <c:pt idx="9">
                  <c:v>5070</c:v>
                </c:pt>
                <c:pt idx="10">
                  <c:v>2225</c:v>
                </c:pt>
                <c:pt idx="11">
                  <c:v>1485</c:v>
                </c:pt>
              </c:numCache>
            </c:numRef>
          </c:val>
          <c:extLst>
            <c:ext xmlns:c16="http://schemas.microsoft.com/office/drawing/2014/chart" uri="{C3380CC4-5D6E-409C-BE32-E72D297353CC}">
              <c16:uniqueId val="{00000006-9482-43B8-8763-5329A0B7AA7C}"/>
            </c:ext>
          </c:extLst>
        </c:ser>
        <c:ser>
          <c:idx val="7"/>
          <c:order val="7"/>
          <c:tx>
            <c:strRef>
              <c:f>Pivot!$U$3:$U$4</c:f>
              <c:strCache>
                <c:ptCount val="1"/>
                <c:pt idx="0">
                  <c:v>2017</c:v>
                </c:pt>
              </c:strCache>
            </c:strRef>
          </c:tx>
          <c:spPr>
            <a:solidFill>
              <a:schemeClr val="accent2">
                <a:lumMod val="60000"/>
              </a:schemeClr>
            </a:solidFill>
            <a:ln>
              <a:noFill/>
            </a:ln>
            <a:effectLst/>
          </c:spPr>
          <c:invertIfNegative val="0"/>
          <c:cat>
            <c:strRef>
              <c:f>Pivot!$M$5:$M$17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Pivot!$U$5:$U$17</c:f>
              <c:numCache>
                <c:formatCode>_-* #,##0_-;\-* #,##0_-;_-* "-"??_-;_-@_-</c:formatCode>
                <c:ptCount val="12"/>
                <c:pt idx="2">
                  <c:v>8656</c:v>
                </c:pt>
                <c:pt idx="3">
                  <c:v>8263</c:v>
                </c:pt>
                <c:pt idx="4">
                  <c:v>1815</c:v>
                </c:pt>
                <c:pt idx="6">
                  <c:v>8974</c:v>
                </c:pt>
                <c:pt idx="7">
                  <c:v>4767</c:v>
                </c:pt>
                <c:pt idx="9">
                  <c:v>9424</c:v>
                </c:pt>
                <c:pt idx="10">
                  <c:v>7327</c:v>
                </c:pt>
              </c:numCache>
            </c:numRef>
          </c:val>
          <c:extLst>
            <c:ext xmlns:c16="http://schemas.microsoft.com/office/drawing/2014/chart" uri="{C3380CC4-5D6E-409C-BE32-E72D297353CC}">
              <c16:uniqueId val="{00000007-9482-43B8-8763-5329A0B7AA7C}"/>
            </c:ext>
          </c:extLst>
        </c:ser>
        <c:dLbls>
          <c:showLegendKey val="0"/>
          <c:showVal val="0"/>
          <c:showCatName val="0"/>
          <c:showSerName val="0"/>
          <c:showPercent val="0"/>
          <c:showBubbleSize val="0"/>
        </c:dLbls>
        <c:gapWidth val="150"/>
        <c:overlap val="100"/>
        <c:axId val="1452250688"/>
        <c:axId val="1452238688"/>
      </c:barChart>
      <c:catAx>
        <c:axId val="14522506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52238688"/>
        <c:crosses val="autoZero"/>
        <c:auto val="1"/>
        <c:lblAlgn val="ctr"/>
        <c:lblOffset val="100"/>
        <c:noMultiLvlLbl val="0"/>
      </c:catAx>
      <c:valAx>
        <c:axId val="1452238688"/>
        <c:scaling>
          <c:orientation val="minMax"/>
        </c:scaling>
        <c:delete val="0"/>
        <c:axPos val="l"/>
        <c:majorGridlines>
          <c:spPr>
            <a:ln w="9525" cap="flat" cmpd="sng" algn="ctr">
              <a:solidFill>
                <a:schemeClr val="dk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5225068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3.xml"/><Relationship Id="rId13" Type="http://schemas.openxmlformats.org/officeDocument/2006/relationships/chart" Target="../charts/chart38.xml"/><Relationship Id="rId18" Type="http://schemas.openxmlformats.org/officeDocument/2006/relationships/chart" Target="../charts/chart43.xml"/><Relationship Id="rId3" Type="http://schemas.openxmlformats.org/officeDocument/2006/relationships/chart" Target="../charts/chart28.xml"/><Relationship Id="rId7" Type="http://schemas.openxmlformats.org/officeDocument/2006/relationships/chart" Target="../charts/chart32.xml"/><Relationship Id="rId12" Type="http://schemas.openxmlformats.org/officeDocument/2006/relationships/chart" Target="../charts/chart37.xml"/><Relationship Id="rId17" Type="http://schemas.openxmlformats.org/officeDocument/2006/relationships/chart" Target="../charts/chart42.xml"/><Relationship Id="rId2" Type="http://schemas.openxmlformats.org/officeDocument/2006/relationships/chart" Target="../charts/chart27.xml"/><Relationship Id="rId16" Type="http://schemas.openxmlformats.org/officeDocument/2006/relationships/chart" Target="../charts/chart41.xml"/><Relationship Id="rId1" Type="http://schemas.openxmlformats.org/officeDocument/2006/relationships/chart" Target="../charts/chart26.xml"/><Relationship Id="rId6" Type="http://schemas.openxmlformats.org/officeDocument/2006/relationships/chart" Target="../charts/chart31.xml"/><Relationship Id="rId11" Type="http://schemas.openxmlformats.org/officeDocument/2006/relationships/chart" Target="../charts/chart36.xml"/><Relationship Id="rId5" Type="http://schemas.openxmlformats.org/officeDocument/2006/relationships/chart" Target="../charts/chart30.xml"/><Relationship Id="rId15" Type="http://schemas.openxmlformats.org/officeDocument/2006/relationships/chart" Target="../charts/chart40.xml"/><Relationship Id="rId10" Type="http://schemas.openxmlformats.org/officeDocument/2006/relationships/chart" Target="../charts/chart35.xml"/><Relationship Id="rId4" Type="http://schemas.openxmlformats.org/officeDocument/2006/relationships/chart" Target="../charts/chart29.xml"/><Relationship Id="rId9" Type="http://schemas.openxmlformats.org/officeDocument/2006/relationships/chart" Target="../charts/chart34.xml"/><Relationship Id="rId14" Type="http://schemas.openxmlformats.org/officeDocument/2006/relationships/chart" Target="../charts/chart3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485775</xdr:colOff>
      <xdr:row>19</xdr:row>
      <xdr:rowOff>142875</xdr:rowOff>
    </xdr:to>
    <xdr:graphicFrame macro="">
      <xdr:nvGraphicFramePr>
        <xdr:cNvPr id="20" name="Chart 19">
          <a:extLst>
            <a:ext uri="{FF2B5EF4-FFF2-40B4-BE49-F238E27FC236}">
              <a16:creationId xmlns:a16="http://schemas.microsoft.com/office/drawing/2014/main" id="{6660E830-DE94-4491-ADAC-568EBAB6C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589046</xdr:colOff>
      <xdr:row>19</xdr:row>
      <xdr:rowOff>95249</xdr:rowOff>
    </xdr:from>
    <xdr:to>
      <xdr:col>10</xdr:col>
      <xdr:colOff>123041</xdr:colOff>
      <xdr:row>43</xdr:row>
      <xdr:rowOff>123824</xdr:rowOff>
    </xdr:to>
    <xdr:graphicFrame macro="">
      <xdr:nvGraphicFramePr>
        <xdr:cNvPr id="21" name="Chart 20">
          <a:extLst>
            <a:ext uri="{FF2B5EF4-FFF2-40B4-BE49-F238E27FC236}">
              <a16:creationId xmlns:a16="http://schemas.microsoft.com/office/drawing/2014/main" id="{6431A700-FB90-4E24-BD90-232277AC3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476250</xdr:colOff>
      <xdr:row>1</xdr:row>
      <xdr:rowOff>1104899</xdr:rowOff>
    </xdr:from>
    <xdr:to>
      <xdr:col>12</xdr:col>
      <xdr:colOff>219075</xdr:colOff>
      <xdr:row>19</xdr:row>
      <xdr:rowOff>85724</xdr:rowOff>
    </xdr:to>
    <xdr:graphicFrame macro="">
      <xdr:nvGraphicFramePr>
        <xdr:cNvPr id="22" name="Chart 21">
          <a:extLst>
            <a:ext uri="{FF2B5EF4-FFF2-40B4-BE49-F238E27FC236}">
              <a16:creationId xmlns:a16="http://schemas.microsoft.com/office/drawing/2014/main" id="{6FB2B83C-B385-4C19-9F70-D465601B5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228601</xdr:colOff>
      <xdr:row>2</xdr:row>
      <xdr:rowOff>1</xdr:rowOff>
    </xdr:from>
    <xdr:to>
      <xdr:col>19</xdr:col>
      <xdr:colOff>9525</xdr:colOff>
      <xdr:row>19</xdr:row>
      <xdr:rowOff>85725</xdr:rowOff>
    </xdr:to>
    <xdr:graphicFrame macro="">
      <xdr:nvGraphicFramePr>
        <xdr:cNvPr id="23" name="Chart 22">
          <a:extLst>
            <a:ext uri="{FF2B5EF4-FFF2-40B4-BE49-F238E27FC236}">
              <a16:creationId xmlns:a16="http://schemas.microsoft.com/office/drawing/2014/main" id="{571AF67C-9D82-4649-81CD-1B3A37AAE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600076</xdr:colOff>
      <xdr:row>2</xdr:row>
      <xdr:rowOff>9525</xdr:rowOff>
    </xdr:from>
    <xdr:to>
      <xdr:col>26</xdr:col>
      <xdr:colOff>104776</xdr:colOff>
      <xdr:row>19</xdr:row>
      <xdr:rowOff>95250</xdr:rowOff>
    </xdr:to>
    <xdr:graphicFrame macro="">
      <xdr:nvGraphicFramePr>
        <xdr:cNvPr id="24" name="Chart 23">
          <a:extLst>
            <a:ext uri="{FF2B5EF4-FFF2-40B4-BE49-F238E27FC236}">
              <a16:creationId xmlns:a16="http://schemas.microsoft.com/office/drawing/2014/main" id="{D8AEDAEB-ABB7-48F5-B92B-D7C16ACDC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108284</xdr:colOff>
      <xdr:row>19</xdr:row>
      <xdr:rowOff>85725</xdr:rowOff>
    </xdr:from>
    <xdr:to>
      <xdr:col>16</xdr:col>
      <xdr:colOff>47625</xdr:colOff>
      <xdr:row>43</xdr:row>
      <xdr:rowOff>123825</xdr:rowOff>
    </xdr:to>
    <xdr:graphicFrame macro="">
      <xdr:nvGraphicFramePr>
        <xdr:cNvPr id="25" name="Chart 24">
          <a:extLst>
            <a:ext uri="{FF2B5EF4-FFF2-40B4-BE49-F238E27FC236}">
              <a16:creationId xmlns:a16="http://schemas.microsoft.com/office/drawing/2014/main" id="{D7A9B816-26CE-4ABE-9B8A-EA8BB2DEA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115804</xdr:colOff>
      <xdr:row>2</xdr:row>
      <xdr:rowOff>9524</xdr:rowOff>
    </xdr:from>
    <xdr:to>
      <xdr:col>33</xdr:col>
      <xdr:colOff>404015</xdr:colOff>
      <xdr:row>19</xdr:row>
      <xdr:rowOff>123825</xdr:rowOff>
    </xdr:to>
    <xdr:graphicFrame macro="">
      <xdr:nvGraphicFramePr>
        <xdr:cNvPr id="26" name="Chart 25">
          <a:extLst>
            <a:ext uri="{FF2B5EF4-FFF2-40B4-BE49-F238E27FC236}">
              <a16:creationId xmlns:a16="http://schemas.microsoft.com/office/drawing/2014/main" id="{836751E8-5F76-4AA5-B6CC-3E5B65ED2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43615</xdr:colOff>
      <xdr:row>19</xdr:row>
      <xdr:rowOff>95250</xdr:rowOff>
    </xdr:from>
    <xdr:to>
      <xdr:col>22</xdr:col>
      <xdr:colOff>351991</xdr:colOff>
      <xdr:row>43</xdr:row>
      <xdr:rowOff>133350</xdr:rowOff>
    </xdr:to>
    <xdr:graphicFrame macro="">
      <xdr:nvGraphicFramePr>
        <xdr:cNvPr id="27" name="Chart 26">
          <a:extLst>
            <a:ext uri="{FF2B5EF4-FFF2-40B4-BE49-F238E27FC236}">
              <a16:creationId xmlns:a16="http://schemas.microsoft.com/office/drawing/2014/main" id="{A19C9C05-C0C0-45C4-A9A8-5C1179476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361950</xdr:colOff>
      <xdr:row>19</xdr:row>
      <xdr:rowOff>114299</xdr:rowOff>
    </xdr:from>
    <xdr:to>
      <xdr:col>28</xdr:col>
      <xdr:colOff>571500</xdr:colOff>
      <xdr:row>43</xdr:row>
      <xdr:rowOff>142874</xdr:rowOff>
    </xdr:to>
    <xdr:graphicFrame macro="">
      <xdr:nvGraphicFramePr>
        <xdr:cNvPr id="28" name="Chart 27">
          <a:extLst>
            <a:ext uri="{FF2B5EF4-FFF2-40B4-BE49-F238E27FC236}">
              <a16:creationId xmlns:a16="http://schemas.microsoft.com/office/drawing/2014/main" id="{2A8B75DF-CC66-45EE-841F-DDBD0AE43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404060</xdr:colOff>
      <xdr:row>2</xdr:row>
      <xdr:rowOff>9523</xdr:rowOff>
    </xdr:from>
    <xdr:to>
      <xdr:col>39</xdr:col>
      <xdr:colOff>390525</xdr:colOff>
      <xdr:row>19</xdr:row>
      <xdr:rowOff>142875</xdr:rowOff>
    </xdr:to>
    <xdr:graphicFrame macro="">
      <xdr:nvGraphicFramePr>
        <xdr:cNvPr id="29" name="Chart 28">
          <a:extLst>
            <a:ext uri="{FF2B5EF4-FFF2-40B4-BE49-F238E27FC236}">
              <a16:creationId xmlns:a16="http://schemas.microsoft.com/office/drawing/2014/main" id="{D5BEE489-5063-4D49-B3E2-4D9D6A4B6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390525</xdr:colOff>
      <xdr:row>2</xdr:row>
      <xdr:rowOff>9525</xdr:rowOff>
    </xdr:from>
    <xdr:to>
      <xdr:col>46</xdr:col>
      <xdr:colOff>9525</xdr:colOff>
      <xdr:row>19</xdr:row>
      <xdr:rowOff>123825</xdr:rowOff>
    </xdr:to>
    <xdr:graphicFrame macro="">
      <xdr:nvGraphicFramePr>
        <xdr:cNvPr id="30" name="Chart 29">
          <a:extLst>
            <a:ext uri="{FF2B5EF4-FFF2-40B4-BE49-F238E27FC236}">
              <a16:creationId xmlns:a16="http://schemas.microsoft.com/office/drawing/2014/main" id="{3656FE68-7A5F-489D-BA9C-1D88A1303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557964</xdr:colOff>
      <xdr:row>19</xdr:row>
      <xdr:rowOff>133350</xdr:rowOff>
    </xdr:from>
    <xdr:to>
      <xdr:col>36</xdr:col>
      <xdr:colOff>219075</xdr:colOff>
      <xdr:row>43</xdr:row>
      <xdr:rowOff>95250</xdr:rowOff>
    </xdr:to>
    <xdr:graphicFrame macro="">
      <xdr:nvGraphicFramePr>
        <xdr:cNvPr id="31" name="Chart 30">
          <a:extLst>
            <a:ext uri="{FF2B5EF4-FFF2-40B4-BE49-F238E27FC236}">
              <a16:creationId xmlns:a16="http://schemas.microsoft.com/office/drawing/2014/main" id="{A337FA1B-78FD-4CD8-856D-B73C227E2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36</xdr:col>
      <xdr:colOff>130482</xdr:colOff>
      <xdr:row>19</xdr:row>
      <xdr:rowOff>123825</xdr:rowOff>
    </xdr:from>
    <xdr:to>
      <xdr:col>41</xdr:col>
      <xdr:colOff>276226</xdr:colOff>
      <xdr:row>43</xdr:row>
      <xdr:rowOff>63500</xdr:rowOff>
    </xdr:to>
    <xdr:graphicFrame macro="">
      <xdr:nvGraphicFramePr>
        <xdr:cNvPr id="32" name="Chart 31">
          <a:extLst>
            <a:ext uri="{FF2B5EF4-FFF2-40B4-BE49-F238E27FC236}">
              <a16:creationId xmlns:a16="http://schemas.microsoft.com/office/drawing/2014/main" id="{87A31990-2467-4D64-A246-0367A9C4C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41</xdr:col>
      <xdr:colOff>257175</xdr:colOff>
      <xdr:row>19</xdr:row>
      <xdr:rowOff>104775</xdr:rowOff>
    </xdr:from>
    <xdr:to>
      <xdr:col>46</xdr:col>
      <xdr:colOff>207590</xdr:colOff>
      <xdr:row>43</xdr:row>
      <xdr:rowOff>63499</xdr:rowOff>
    </xdr:to>
    <xdr:graphicFrame macro="">
      <xdr:nvGraphicFramePr>
        <xdr:cNvPr id="33" name="Chart 32">
          <a:extLst>
            <a:ext uri="{FF2B5EF4-FFF2-40B4-BE49-F238E27FC236}">
              <a16:creationId xmlns:a16="http://schemas.microsoft.com/office/drawing/2014/main" id="{73E95A6A-5BAC-436A-B09C-01D182245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46</xdr:col>
      <xdr:colOff>19050</xdr:colOff>
      <xdr:row>2</xdr:row>
      <xdr:rowOff>0</xdr:rowOff>
    </xdr:from>
    <xdr:to>
      <xdr:col>52</xdr:col>
      <xdr:colOff>0</xdr:colOff>
      <xdr:row>19</xdr:row>
      <xdr:rowOff>95250</xdr:rowOff>
    </xdr:to>
    <xdr:graphicFrame macro="">
      <xdr:nvGraphicFramePr>
        <xdr:cNvPr id="34" name="Chart 33">
          <a:extLst>
            <a:ext uri="{FF2B5EF4-FFF2-40B4-BE49-F238E27FC236}">
              <a16:creationId xmlns:a16="http://schemas.microsoft.com/office/drawing/2014/main" id="{6A4557F8-7F8C-4A53-A60F-4CD837469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19</xdr:row>
      <xdr:rowOff>104776</xdr:rowOff>
    </xdr:from>
    <xdr:to>
      <xdr:col>2</xdr:col>
      <xdr:colOff>599972</xdr:colOff>
      <xdr:row>43</xdr:row>
      <xdr:rowOff>142876</xdr:rowOff>
    </xdr:to>
    <mc:AlternateContent xmlns:mc="http://schemas.openxmlformats.org/markup-compatibility/2006" xmlns:a14="http://schemas.microsoft.com/office/drawing/2010/main">
      <mc:Choice Requires="a14">
        <xdr:graphicFrame macro="">
          <xdr:nvGraphicFramePr>
            <xdr:cNvPr id="36" name="Sales Channel 1">
              <a:extLst>
                <a:ext uri="{FF2B5EF4-FFF2-40B4-BE49-F238E27FC236}">
                  <a16:creationId xmlns:a16="http://schemas.microsoft.com/office/drawing/2014/main" id="{59017E8E-11AC-476D-85A9-5E7EA9560025}"/>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0" y="4649562"/>
              <a:ext cx="1797401" cy="4610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46</xdr:col>
      <xdr:colOff>200025</xdr:colOff>
      <xdr:row>19</xdr:row>
      <xdr:rowOff>104775</xdr:rowOff>
    </xdr:from>
    <xdr:to>
      <xdr:col>51</xdr:col>
      <xdr:colOff>485775</xdr:colOff>
      <xdr:row>43</xdr:row>
      <xdr:rowOff>95251</xdr:rowOff>
    </xdr:to>
    <xdr:graphicFrame macro="">
      <xdr:nvGraphicFramePr>
        <xdr:cNvPr id="37" name="Chart 36">
          <a:extLst>
            <a:ext uri="{FF2B5EF4-FFF2-40B4-BE49-F238E27FC236}">
              <a16:creationId xmlns:a16="http://schemas.microsoft.com/office/drawing/2014/main" id="{D9ECDAD0-127D-4E7B-96B8-ECB07BB19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323849</xdr:colOff>
      <xdr:row>3</xdr:row>
      <xdr:rowOff>0</xdr:rowOff>
    </xdr:from>
    <xdr:to>
      <xdr:col>24</xdr:col>
      <xdr:colOff>190499</xdr:colOff>
      <xdr:row>13</xdr:row>
      <xdr:rowOff>0</xdr:rowOff>
    </xdr:to>
    <xdr:graphicFrame macro="">
      <xdr:nvGraphicFramePr>
        <xdr:cNvPr id="2" name="Chart 1">
          <a:extLst>
            <a:ext uri="{FF2B5EF4-FFF2-40B4-BE49-F238E27FC236}">
              <a16:creationId xmlns:a16="http://schemas.microsoft.com/office/drawing/2014/main" id="{B6014058-13F6-38F9-C845-CD37E4830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57149</xdr:colOff>
      <xdr:row>14</xdr:row>
      <xdr:rowOff>19051</xdr:rowOff>
    </xdr:from>
    <xdr:to>
      <xdr:col>24</xdr:col>
      <xdr:colOff>209550</xdr:colOff>
      <xdr:row>24</xdr:row>
      <xdr:rowOff>171451</xdr:rowOff>
    </xdr:to>
    <xdr:graphicFrame macro="">
      <xdr:nvGraphicFramePr>
        <xdr:cNvPr id="3" name="Chart 2">
          <a:extLst>
            <a:ext uri="{FF2B5EF4-FFF2-40B4-BE49-F238E27FC236}">
              <a16:creationId xmlns:a16="http://schemas.microsoft.com/office/drawing/2014/main" id="{851E4B87-5E82-4BE1-420A-57A8E6BB0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247650</xdr:colOff>
      <xdr:row>27</xdr:row>
      <xdr:rowOff>57150</xdr:rowOff>
    </xdr:from>
    <xdr:to>
      <xdr:col>37</xdr:col>
      <xdr:colOff>400050</xdr:colOff>
      <xdr:row>41</xdr:row>
      <xdr:rowOff>0</xdr:rowOff>
    </xdr:to>
    <xdr:graphicFrame macro="">
      <xdr:nvGraphicFramePr>
        <xdr:cNvPr id="5" name="Chart 4">
          <a:extLst>
            <a:ext uri="{FF2B5EF4-FFF2-40B4-BE49-F238E27FC236}">
              <a16:creationId xmlns:a16="http://schemas.microsoft.com/office/drawing/2014/main" id="{054CC99A-9462-E5D6-FB9A-F9D3B5299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190499</xdr:colOff>
      <xdr:row>41</xdr:row>
      <xdr:rowOff>180974</xdr:rowOff>
    </xdr:from>
    <xdr:to>
      <xdr:col>26</xdr:col>
      <xdr:colOff>571500</xdr:colOff>
      <xdr:row>52</xdr:row>
      <xdr:rowOff>142875</xdr:rowOff>
    </xdr:to>
    <xdr:graphicFrame macro="">
      <xdr:nvGraphicFramePr>
        <xdr:cNvPr id="7" name="Chart 6">
          <a:extLst>
            <a:ext uri="{FF2B5EF4-FFF2-40B4-BE49-F238E27FC236}">
              <a16:creationId xmlns:a16="http://schemas.microsoft.com/office/drawing/2014/main" id="{650FCCFE-393A-7A47-61D1-7FE5D9DA0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323850</xdr:colOff>
      <xdr:row>53</xdr:row>
      <xdr:rowOff>66675</xdr:rowOff>
    </xdr:from>
    <xdr:to>
      <xdr:col>27</xdr:col>
      <xdr:colOff>161925</xdr:colOff>
      <xdr:row>68</xdr:row>
      <xdr:rowOff>0</xdr:rowOff>
    </xdr:to>
    <xdr:graphicFrame macro="">
      <xdr:nvGraphicFramePr>
        <xdr:cNvPr id="11" name="Chart 10">
          <a:extLst>
            <a:ext uri="{FF2B5EF4-FFF2-40B4-BE49-F238E27FC236}">
              <a16:creationId xmlns:a16="http://schemas.microsoft.com/office/drawing/2014/main" id="{6FF0E94B-C74D-86A9-783E-735D4AA0E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333374</xdr:colOff>
      <xdr:row>68</xdr:row>
      <xdr:rowOff>180976</xdr:rowOff>
    </xdr:from>
    <xdr:to>
      <xdr:col>25</xdr:col>
      <xdr:colOff>123825</xdr:colOff>
      <xdr:row>78</xdr:row>
      <xdr:rowOff>171450</xdr:rowOff>
    </xdr:to>
    <xdr:graphicFrame macro="">
      <xdr:nvGraphicFramePr>
        <xdr:cNvPr id="12" name="Chart 11">
          <a:extLst>
            <a:ext uri="{FF2B5EF4-FFF2-40B4-BE49-F238E27FC236}">
              <a16:creationId xmlns:a16="http://schemas.microsoft.com/office/drawing/2014/main" id="{3E4C3F0F-9C77-2B98-E1D7-3F7704EDE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238123</xdr:colOff>
      <xdr:row>79</xdr:row>
      <xdr:rowOff>180976</xdr:rowOff>
    </xdr:from>
    <xdr:to>
      <xdr:col>28</xdr:col>
      <xdr:colOff>85724</xdr:colOff>
      <xdr:row>91</xdr:row>
      <xdr:rowOff>152400</xdr:rowOff>
    </xdr:to>
    <xdr:graphicFrame macro="">
      <xdr:nvGraphicFramePr>
        <xdr:cNvPr id="13" name="Chart 12">
          <a:extLst>
            <a:ext uri="{FF2B5EF4-FFF2-40B4-BE49-F238E27FC236}">
              <a16:creationId xmlns:a16="http://schemas.microsoft.com/office/drawing/2014/main" id="{F1134FF2-A46E-7C01-C218-1DDFAC807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238125</xdr:colOff>
      <xdr:row>93</xdr:row>
      <xdr:rowOff>9525</xdr:rowOff>
    </xdr:from>
    <xdr:to>
      <xdr:col>28</xdr:col>
      <xdr:colOff>114300</xdr:colOff>
      <xdr:row>103</xdr:row>
      <xdr:rowOff>66674</xdr:rowOff>
    </xdr:to>
    <xdr:graphicFrame macro="">
      <xdr:nvGraphicFramePr>
        <xdr:cNvPr id="14" name="Chart 13">
          <a:extLst>
            <a:ext uri="{FF2B5EF4-FFF2-40B4-BE49-F238E27FC236}">
              <a16:creationId xmlns:a16="http://schemas.microsoft.com/office/drawing/2014/main" id="{11B254BD-01BC-68BD-E890-0E759A42F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190499</xdr:colOff>
      <xdr:row>158</xdr:row>
      <xdr:rowOff>180975</xdr:rowOff>
    </xdr:from>
    <xdr:to>
      <xdr:col>25</xdr:col>
      <xdr:colOff>761999</xdr:colOff>
      <xdr:row>171</xdr:row>
      <xdr:rowOff>57149</xdr:rowOff>
    </xdr:to>
    <xdr:graphicFrame macro="">
      <xdr:nvGraphicFramePr>
        <xdr:cNvPr id="17" name="Chart 16">
          <a:extLst>
            <a:ext uri="{FF2B5EF4-FFF2-40B4-BE49-F238E27FC236}">
              <a16:creationId xmlns:a16="http://schemas.microsoft.com/office/drawing/2014/main" id="{2162F2BC-2E37-3A9F-6FA7-11199E41E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19049</xdr:rowOff>
    </xdr:from>
    <xdr:to>
      <xdr:col>3</xdr:col>
      <xdr:colOff>28574</xdr:colOff>
      <xdr:row>25</xdr:row>
      <xdr:rowOff>142874</xdr:rowOff>
    </xdr:to>
    <xdr:graphicFrame macro="">
      <xdr:nvGraphicFramePr>
        <xdr:cNvPr id="2" name="Chart 1">
          <a:extLst>
            <a:ext uri="{FF2B5EF4-FFF2-40B4-BE49-F238E27FC236}">
              <a16:creationId xmlns:a16="http://schemas.microsoft.com/office/drawing/2014/main" id="{D92DCB33-182E-C13C-B04A-21D9017A0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104775</xdr:colOff>
      <xdr:row>12</xdr:row>
      <xdr:rowOff>47625</xdr:rowOff>
    </xdr:from>
    <xdr:to>
      <xdr:col>7</xdr:col>
      <xdr:colOff>247650</xdr:colOff>
      <xdr:row>25</xdr:row>
      <xdr:rowOff>114300</xdr:rowOff>
    </xdr:to>
    <xdr:graphicFrame macro="">
      <xdr:nvGraphicFramePr>
        <xdr:cNvPr id="3" name="Chart 2">
          <a:extLst>
            <a:ext uri="{FF2B5EF4-FFF2-40B4-BE49-F238E27FC236}">
              <a16:creationId xmlns:a16="http://schemas.microsoft.com/office/drawing/2014/main" id="{89A5A3CB-7EC5-A3B7-8E03-91C1CB71E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381001</xdr:colOff>
      <xdr:row>16</xdr:row>
      <xdr:rowOff>85725</xdr:rowOff>
    </xdr:from>
    <xdr:to>
      <xdr:col>11</xdr:col>
      <xdr:colOff>1</xdr:colOff>
      <xdr:row>34</xdr:row>
      <xdr:rowOff>152400</xdr:rowOff>
    </xdr:to>
    <xdr:graphicFrame macro="">
      <xdr:nvGraphicFramePr>
        <xdr:cNvPr id="4" name="Chart 3">
          <a:extLst>
            <a:ext uri="{FF2B5EF4-FFF2-40B4-BE49-F238E27FC236}">
              <a16:creationId xmlns:a16="http://schemas.microsoft.com/office/drawing/2014/main" id="{3A3381EA-C023-7A8E-0AE0-0482C78A5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76200</xdr:colOff>
      <xdr:row>11</xdr:row>
      <xdr:rowOff>161924</xdr:rowOff>
    </xdr:from>
    <xdr:to>
      <xdr:col>25</xdr:col>
      <xdr:colOff>1333500</xdr:colOff>
      <xdr:row>26</xdr:row>
      <xdr:rowOff>47625</xdr:rowOff>
    </xdr:to>
    <xdr:graphicFrame macro="">
      <xdr:nvGraphicFramePr>
        <xdr:cNvPr id="6" name="Chart 5">
          <a:extLst>
            <a:ext uri="{FF2B5EF4-FFF2-40B4-BE49-F238E27FC236}">
              <a16:creationId xmlns:a16="http://schemas.microsoft.com/office/drawing/2014/main" id="{87498922-3CBF-2E91-3D04-A0B273E2D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304800</xdr:colOff>
      <xdr:row>12</xdr:row>
      <xdr:rowOff>66675</xdr:rowOff>
    </xdr:from>
    <xdr:to>
      <xdr:col>30</xdr:col>
      <xdr:colOff>447675</xdr:colOff>
      <xdr:row>26</xdr:row>
      <xdr:rowOff>142875</xdr:rowOff>
    </xdr:to>
    <xdr:graphicFrame macro="">
      <xdr:nvGraphicFramePr>
        <xdr:cNvPr id="7" name="Chart 6">
          <a:extLst>
            <a:ext uri="{FF2B5EF4-FFF2-40B4-BE49-F238E27FC236}">
              <a16:creationId xmlns:a16="http://schemas.microsoft.com/office/drawing/2014/main" id="{6E25DC4F-4464-BE30-9283-2AB0A6DF1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457200</xdr:colOff>
      <xdr:row>16</xdr:row>
      <xdr:rowOff>66675</xdr:rowOff>
    </xdr:from>
    <xdr:to>
      <xdr:col>34</xdr:col>
      <xdr:colOff>257175</xdr:colOff>
      <xdr:row>30</xdr:row>
      <xdr:rowOff>142875</xdr:rowOff>
    </xdr:to>
    <xdr:graphicFrame macro="">
      <xdr:nvGraphicFramePr>
        <xdr:cNvPr id="8" name="Chart 7">
          <a:extLst>
            <a:ext uri="{FF2B5EF4-FFF2-40B4-BE49-F238E27FC236}">
              <a16:creationId xmlns:a16="http://schemas.microsoft.com/office/drawing/2014/main" id="{719FC304-091A-F9D3-A0A6-F78730AEC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390525</xdr:colOff>
      <xdr:row>12</xdr:row>
      <xdr:rowOff>85725</xdr:rowOff>
    </xdr:from>
    <xdr:to>
      <xdr:col>38</xdr:col>
      <xdr:colOff>57150</xdr:colOff>
      <xdr:row>26</xdr:row>
      <xdr:rowOff>161925</xdr:rowOff>
    </xdr:to>
    <xdr:graphicFrame macro="">
      <xdr:nvGraphicFramePr>
        <xdr:cNvPr id="9" name="Chart 8">
          <a:extLst>
            <a:ext uri="{FF2B5EF4-FFF2-40B4-BE49-F238E27FC236}">
              <a16:creationId xmlns:a16="http://schemas.microsoft.com/office/drawing/2014/main" id="{238F4760-E239-E04E-A004-C90FEC836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514350</xdr:colOff>
      <xdr:row>9</xdr:row>
      <xdr:rowOff>19051</xdr:rowOff>
    </xdr:from>
    <xdr:to>
      <xdr:col>43</xdr:col>
      <xdr:colOff>1533525</xdr:colOff>
      <xdr:row>23</xdr:row>
      <xdr:rowOff>38100</xdr:rowOff>
    </xdr:to>
    <xdr:graphicFrame macro="">
      <xdr:nvGraphicFramePr>
        <xdr:cNvPr id="11" name="Chart 10">
          <a:extLst>
            <a:ext uri="{FF2B5EF4-FFF2-40B4-BE49-F238E27FC236}">
              <a16:creationId xmlns:a16="http://schemas.microsoft.com/office/drawing/2014/main" id="{2BE55E12-4A41-7482-365F-559834A3A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38</xdr:col>
      <xdr:colOff>209551</xdr:colOff>
      <xdr:row>8</xdr:row>
      <xdr:rowOff>161925</xdr:rowOff>
    </xdr:from>
    <xdr:to>
      <xdr:col>41</xdr:col>
      <xdr:colOff>476251</xdr:colOff>
      <xdr:row>23</xdr:row>
      <xdr:rowOff>123825</xdr:rowOff>
    </xdr:to>
    <xdr:graphicFrame macro="">
      <xdr:nvGraphicFramePr>
        <xdr:cNvPr id="12" name="Chart 11">
          <a:extLst>
            <a:ext uri="{FF2B5EF4-FFF2-40B4-BE49-F238E27FC236}">
              <a16:creationId xmlns:a16="http://schemas.microsoft.com/office/drawing/2014/main" id="{52C5B9BA-89C2-76CD-B6D4-B0729A685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44</xdr:col>
      <xdr:colOff>400050</xdr:colOff>
      <xdr:row>9</xdr:row>
      <xdr:rowOff>85724</xdr:rowOff>
    </xdr:from>
    <xdr:to>
      <xdr:col>47</xdr:col>
      <xdr:colOff>152400</xdr:colOff>
      <xdr:row>23</xdr:row>
      <xdr:rowOff>152400</xdr:rowOff>
    </xdr:to>
    <xdr:graphicFrame macro="">
      <xdr:nvGraphicFramePr>
        <xdr:cNvPr id="13" name="Chart 12">
          <a:extLst>
            <a:ext uri="{FF2B5EF4-FFF2-40B4-BE49-F238E27FC236}">
              <a16:creationId xmlns:a16="http://schemas.microsoft.com/office/drawing/2014/main" id="{D5D76E7E-E0AC-D65F-1FC8-D983E3949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47</xdr:col>
      <xdr:colOff>342900</xdr:colOff>
      <xdr:row>9</xdr:row>
      <xdr:rowOff>57150</xdr:rowOff>
    </xdr:from>
    <xdr:to>
      <xdr:col>50</xdr:col>
      <xdr:colOff>238125</xdr:colOff>
      <xdr:row>22</xdr:row>
      <xdr:rowOff>152400</xdr:rowOff>
    </xdr:to>
    <xdr:graphicFrame macro="">
      <xdr:nvGraphicFramePr>
        <xdr:cNvPr id="14" name="Chart 13">
          <a:extLst>
            <a:ext uri="{FF2B5EF4-FFF2-40B4-BE49-F238E27FC236}">
              <a16:creationId xmlns:a16="http://schemas.microsoft.com/office/drawing/2014/main" id="{F0055CE2-A21F-D29D-BD6E-B1FCF41CC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50</xdr:col>
      <xdr:colOff>276225</xdr:colOff>
      <xdr:row>9</xdr:row>
      <xdr:rowOff>76200</xdr:rowOff>
    </xdr:from>
    <xdr:to>
      <xdr:col>53</xdr:col>
      <xdr:colOff>190500</xdr:colOff>
      <xdr:row>22</xdr:row>
      <xdr:rowOff>171450</xdr:rowOff>
    </xdr:to>
    <xdr:graphicFrame macro="">
      <xdr:nvGraphicFramePr>
        <xdr:cNvPr id="15" name="Chart 14">
          <a:extLst>
            <a:ext uri="{FF2B5EF4-FFF2-40B4-BE49-F238E27FC236}">
              <a16:creationId xmlns:a16="http://schemas.microsoft.com/office/drawing/2014/main" id="{39761940-CAD8-C486-A8B3-A03793E02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53</xdr:col>
      <xdr:colOff>247650</xdr:colOff>
      <xdr:row>9</xdr:row>
      <xdr:rowOff>9525</xdr:rowOff>
    </xdr:from>
    <xdr:to>
      <xdr:col>56</xdr:col>
      <xdr:colOff>209550</xdr:colOff>
      <xdr:row>23</xdr:row>
      <xdr:rowOff>85725</xdr:rowOff>
    </xdr:to>
    <xdr:graphicFrame macro="">
      <xdr:nvGraphicFramePr>
        <xdr:cNvPr id="16" name="Chart 15">
          <a:extLst>
            <a:ext uri="{FF2B5EF4-FFF2-40B4-BE49-F238E27FC236}">
              <a16:creationId xmlns:a16="http://schemas.microsoft.com/office/drawing/2014/main" id="{5E4624F8-BC41-C254-2076-1F96823E6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56</xdr:col>
      <xdr:colOff>590550</xdr:colOff>
      <xdr:row>9</xdr:row>
      <xdr:rowOff>47625</xdr:rowOff>
    </xdr:from>
    <xdr:to>
      <xdr:col>59</xdr:col>
      <xdr:colOff>190500</xdr:colOff>
      <xdr:row>23</xdr:row>
      <xdr:rowOff>123825</xdr:rowOff>
    </xdr:to>
    <xdr:graphicFrame macro="">
      <xdr:nvGraphicFramePr>
        <xdr:cNvPr id="17" name="Chart 16">
          <a:extLst>
            <a:ext uri="{FF2B5EF4-FFF2-40B4-BE49-F238E27FC236}">
              <a16:creationId xmlns:a16="http://schemas.microsoft.com/office/drawing/2014/main" id="{64B49959-1613-61DA-DF79-C6892DB3D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59</xdr:col>
      <xdr:colOff>390524</xdr:colOff>
      <xdr:row>9</xdr:row>
      <xdr:rowOff>123825</xdr:rowOff>
    </xdr:from>
    <xdr:to>
      <xdr:col>62</xdr:col>
      <xdr:colOff>190500</xdr:colOff>
      <xdr:row>24</xdr:row>
      <xdr:rowOff>9525</xdr:rowOff>
    </xdr:to>
    <xdr:graphicFrame macro="">
      <xdr:nvGraphicFramePr>
        <xdr:cNvPr id="18" name="Chart 17">
          <a:extLst>
            <a:ext uri="{FF2B5EF4-FFF2-40B4-BE49-F238E27FC236}">
              <a16:creationId xmlns:a16="http://schemas.microsoft.com/office/drawing/2014/main" id="{9988EBB8-0BD3-0D2D-DBF1-BC76F722D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1228725</xdr:colOff>
      <xdr:row>74</xdr:row>
      <xdr:rowOff>152400</xdr:rowOff>
    </xdr:from>
    <xdr:to>
      <xdr:col>23</xdr:col>
      <xdr:colOff>904875</xdr:colOff>
      <xdr:row>89</xdr:row>
      <xdr:rowOff>38100</xdr:rowOff>
    </xdr:to>
    <xdr:graphicFrame macro="">
      <xdr:nvGraphicFramePr>
        <xdr:cNvPr id="22" name="Chart 21">
          <a:extLst>
            <a:ext uri="{FF2B5EF4-FFF2-40B4-BE49-F238E27FC236}">
              <a16:creationId xmlns:a16="http://schemas.microsoft.com/office/drawing/2014/main" id="{0CE0C302-5CF8-B413-754A-BE7EDB55B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26</xdr:row>
      <xdr:rowOff>150396</xdr:rowOff>
    </xdr:from>
    <xdr:to>
      <xdr:col>0</xdr:col>
      <xdr:colOff>1828800</xdr:colOff>
      <xdr:row>40</xdr:row>
      <xdr:rowOff>7521</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514C25F9-074A-B292-DCC0-A87742CEDD0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0" y="5103396"/>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62</xdr:col>
      <xdr:colOff>320841</xdr:colOff>
      <xdr:row>12</xdr:row>
      <xdr:rowOff>107281</xdr:rowOff>
    </xdr:from>
    <xdr:to>
      <xdr:col>66</xdr:col>
      <xdr:colOff>10026</xdr:colOff>
      <xdr:row>26</xdr:row>
      <xdr:rowOff>183481</xdr:rowOff>
    </xdr:to>
    <xdr:graphicFrame macro="">
      <xdr:nvGraphicFramePr>
        <xdr:cNvPr id="21" name="Chart 20">
          <a:extLst>
            <a:ext uri="{FF2B5EF4-FFF2-40B4-BE49-F238E27FC236}">
              <a16:creationId xmlns:a16="http://schemas.microsoft.com/office/drawing/2014/main" id="{197DC074-F56E-1887-43D1-85F853CC8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571500</xdr:colOff>
      <xdr:row>17</xdr:row>
      <xdr:rowOff>157413</xdr:rowOff>
    </xdr:from>
    <xdr:to>
      <xdr:col>22</xdr:col>
      <xdr:colOff>0</xdr:colOff>
      <xdr:row>32</xdr:row>
      <xdr:rowOff>43113</xdr:rowOff>
    </xdr:to>
    <xdr:graphicFrame macro="">
      <xdr:nvGraphicFramePr>
        <xdr:cNvPr id="10" name="Chart 9">
          <a:extLst>
            <a:ext uri="{FF2B5EF4-FFF2-40B4-BE49-F238E27FC236}">
              <a16:creationId xmlns:a16="http://schemas.microsoft.com/office/drawing/2014/main" id="{B54663B0-6623-601A-C16C-50A98A56B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82216</xdr:colOff>
      <xdr:row>14</xdr:row>
      <xdr:rowOff>76200</xdr:rowOff>
    </xdr:to>
    <xdr:graphicFrame macro="">
      <xdr:nvGraphicFramePr>
        <xdr:cNvPr id="2" name="Chart 1">
          <a:extLst>
            <a:ext uri="{FF2B5EF4-FFF2-40B4-BE49-F238E27FC236}">
              <a16:creationId xmlns:a16="http://schemas.microsoft.com/office/drawing/2014/main" id="{49BC6ACF-8D9B-4B43-A92E-D7B3DEDF8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02.462729166669" createdVersion="8" refreshedVersion="8" minRefreshableVersion="3" recordCount="100" xr:uid="{B46BC838-9F44-491E-B1F2-C7C95EB05CE2}">
  <cacheSource type="worksheet">
    <worksheetSource ref="A1:O101" sheet="Refined_Data"/>
  </cacheSource>
  <cacheFields count="15">
    <cacheField name="Region" numFmtId="164">
      <sharedItems count="7">
        <s v="Australia and Oceania"/>
        <s v="Central America and the Caribbean"/>
        <s v="Europe"/>
        <s v="Sub-Saharan Africa"/>
        <s v="Asia"/>
        <s v="Middle East and North Africa"/>
        <s v="North America"/>
      </sharedItems>
    </cacheField>
    <cacheField name="Country" numFmtId="164">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164">
      <sharedItems count="12">
        <s v="Baby Food"/>
        <s v="Cereal"/>
        <s v="Office Supplies"/>
        <s v="Fruits"/>
        <s v="Household"/>
        <s v="Vegetables"/>
        <s v="Personal Care"/>
        <s v="Clothes"/>
        <s v="Cosmetics"/>
        <s v="Beverages"/>
        <s v="Meat"/>
        <s v="Snacks"/>
      </sharedItems>
    </cacheField>
    <cacheField name="Sales Channel" numFmtId="164">
      <sharedItems/>
    </cacheField>
    <cacheField name="Order Priority" numFmtId="164">
      <sharedItems/>
    </cacheField>
    <cacheField name="Order Date" numFmtId="165">
      <sharedItems containsSemiMixedTypes="0" containsNonDate="0" containsDate="1" containsString="0" minDate="2010-02-02T00:00:00" maxDate="2017-05-23T00:00:00" count="100">
        <d v="2010-05-28T00:00:00"/>
        <d v="2012-08-22T00:00:00"/>
        <d v="2014-05-02T00:00:00"/>
        <d v="2014-06-20T00:00:00"/>
        <d v="2013-02-01T00:00:00"/>
        <d v="2015-02-04T00:00:00"/>
        <d v="2011-04-23T00:00:00"/>
        <d v="2012-07-17T00:00:00"/>
        <d v="2015-07-14T00:00:00"/>
        <d v="2014-04-18T00:00:00"/>
        <d v="2011-06-24T00:00:00"/>
        <d v="2014-08-02T00:00:00"/>
        <d v="2017-01-13T00:00:00"/>
        <d v="2017-02-08T00:00:00"/>
        <d v="2014-02-19T00:00:00"/>
        <d v="2012-04-23T00:00:00"/>
        <d v="2016-11-19T00:00:00"/>
        <d v="2015-04-01T00:00:00"/>
        <d v="2010-12-30T00:00:00"/>
        <d v="2012-07-31T00:00:00"/>
        <d v="2014-05-14T00:00:00"/>
        <d v="2015-07-31T00:00:00"/>
        <d v="2016-06-30T00:00:00"/>
        <d v="2014-09-08T00:00:00"/>
        <d v="2016-05-07T00:00:00"/>
        <d v="2017-05-22T00:00:00"/>
        <d v="2014-10-13T00:00:00"/>
        <d v="2010-05-07T00:00:00"/>
        <d v="2014-07-18T00:00:00"/>
        <d v="2012-05-26T00:00:00"/>
        <d v="2012-09-17T00:00:00"/>
        <d v="2013-12-29T00:00:00"/>
        <d v="2015-10-27T00:00:00"/>
        <d v="2015-01-16T00:00:00"/>
        <d v="2017-02-25T00:00:00"/>
        <d v="2017-05-08T00:00:00"/>
        <d v="2011-11-22T00:00:00"/>
        <d v="2017-01-14T00:00:00"/>
        <d v="2012-04-01T00:00:00"/>
        <d v="2012-02-16T00:00:00"/>
        <d v="2017-03-11T00:00:00"/>
        <d v="2010-02-06T00:00:00"/>
        <d v="2012-06-07T00:00:00"/>
        <d v="2012-10-06T00:00:00"/>
        <d v="2015-11-14T00:00:00"/>
        <d v="2016-03-29T00:00:00"/>
        <d v="2016-12-31T00:00:00"/>
        <d v="2010-12-23T00:00:00"/>
        <d v="2014-10-14T00:00:00"/>
        <d v="2012-01-11T00:00:00"/>
        <d v="2010-02-02T00:00:00"/>
        <d v="2013-08-18T00:00:00"/>
        <d v="2013-03-25T00:00:00"/>
        <d v="2011-11-26T00:00:00"/>
        <d v="2013-09-17T00:00:00"/>
        <d v="2012-06-08T00:00:00"/>
        <d v="2010-06-30T00:00:00"/>
        <d v="2015-02-23T00:00:00"/>
        <d v="2012-01-05T00:00:00"/>
        <d v="2014-04-07T00:00:00"/>
        <d v="2013-06-09T00:00:00"/>
        <d v="2013-06-26T00:00:00"/>
        <d v="2011-11-07T00:00:00"/>
        <d v="2010-10-30T00:00:00"/>
        <d v="2013-10-13T00:00:00"/>
        <d v="2013-10-11T00:00:00"/>
        <d v="2012-07-08T00:00:00"/>
        <d v="2016-07-25T00:00:00"/>
        <d v="2010-10-24T00:00:00"/>
        <d v="2015-04-25T00:00:00"/>
        <d v="2013-04-23T00:00:00"/>
        <d v="2015-08-14T00:00:00"/>
        <d v="2011-05-26T00:00:00"/>
        <d v="2017-05-20T00:00:00"/>
        <d v="2013-07-05T00:00:00"/>
        <d v="2014-11-06T00:00:00"/>
        <d v="2014-10-28T00:00:00"/>
        <d v="2011-09-15T00:00:00"/>
        <d v="2012-05-29T00:00:00"/>
        <d v="2013-07-20T00:00:00"/>
        <d v="2012-10-21T00:00:00"/>
        <d v="2012-09-18T00:00:00"/>
        <d v="2016-11-15T00:00:00"/>
        <d v="2011-01-04T00:00:00"/>
        <d v="2012-03-18T00:00:00"/>
        <d v="2012-02-17T00:00:00"/>
        <d v="2011-01-16T00:00:00"/>
        <d v="2014-02-03T00:00:00"/>
        <d v="2012-04-30T00:00:00"/>
        <d v="2016-10-23T00:00:00"/>
        <d v="2016-12-06T00:00:00"/>
        <d v="2014-07-07T00:00:00"/>
        <d v="2012-06-13T00:00:00"/>
        <d v="2010-11-26T00:00:00"/>
        <d v="2011-02-08T00:00:00"/>
        <d v="2011-07-26T00:00:00"/>
        <d v="2011-11-11T00:00:00"/>
        <d v="2016-06-01T00:00:00"/>
        <d v="2015-07-30T00:00:00"/>
        <d v="2012-02-10T00:00:00"/>
      </sharedItems>
    </cacheField>
    <cacheField name="Year" numFmtId="49">
      <sharedItems containsSemiMixedTypes="0" containsString="0" containsNumber="1" containsInteger="1" minValue="2010" maxValue="2017" count="8">
        <n v="2010"/>
        <n v="2012"/>
        <n v="2014"/>
        <n v="2013"/>
        <n v="2015"/>
        <n v="2011"/>
        <n v="2017"/>
        <n v="2016"/>
      </sharedItems>
    </cacheField>
    <cacheField name="Order ID" numFmtId="0">
      <sharedItems containsSemiMixedTypes="0" containsString="0" containsNumber="1" containsInteger="1" minValue="114606559" maxValue="994022214"/>
    </cacheField>
    <cacheField name="Ship Date" numFmtId="165">
      <sharedItems containsSemiMixedTypes="0" containsNonDate="0" containsDate="1" containsString="0" minDate="2010-02-25T00:00:00" maxDate="2017-06-18T00:00:00"/>
    </cacheField>
    <cacheField name="Units Sold" numFmtId="166">
      <sharedItems containsSemiMixedTypes="0" containsString="0" containsNumber="1" containsInteger="1" minValue="124" maxValue="9925"/>
    </cacheField>
    <cacheField name="Unit Price (£)" numFmtId="0">
      <sharedItems containsSemiMixedTypes="0" containsString="0" containsNumber="1" minValue="9.33" maxValue="668.27"/>
    </cacheField>
    <cacheField name="Unit Cost (£)" numFmtId="0">
      <sharedItems containsSemiMixedTypes="0" containsString="0" containsNumber="1" minValue="6.92" maxValue="524.96"/>
    </cacheField>
    <cacheField name="Total Revenue (£)" numFmtId="43">
      <sharedItems containsSemiMixedTypes="0" containsString="0" containsNumber="1" minValue="4870.26" maxValue="5997054.9800000004" count="100">
        <n v="2533654"/>
        <n v="576782.80000000005"/>
        <n v="1158502.5900000001"/>
        <n v="75591.66"/>
        <n v="3296425.02"/>
        <n v="759202.72"/>
        <n v="2798046.49"/>
        <n v="1245112.92"/>
        <n v="496101.1"/>
        <n v="1356180.1"/>
        <n v="19103.439999999999"/>
        <n v="455479.03999999998"/>
        <n v="902980.64"/>
        <n v="5997054.9800000004"/>
        <n v="400558.73"/>
        <n v="182825.44"/>
        <n v="3039414.4"/>
        <n v="257653.5"/>
        <n v="2559474.1"/>
        <n v="2492526.12"/>
        <n v="1901836"/>
        <n v="324971.44"/>
        <n v="339490.5"/>
        <n v="20404.71"/>
        <n v="414371.1"/>
        <n v="793518"/>
        <n v="50363.34"/>
        <n v="54319.26"/>
        <n v="243133.8"/>
        <n v="1583799.9"/>
        <n v="3786589.2"/>
        <n v="173676.25"/>
        <n v="1904138.04"/>
        <n v="5513227.5"/>
        <n v="1117953.6599999999"/>
        <n v="523807.57"/>
        <n v="35304.720000000001"/>
        <n v="2011149.63"/>
        <n v="4368316.68"/>
        <n v="2596374.27"/>
        <n v="246415.95"/>
        <n v="3162704.8"/>
        <n v="435466.9"/>
        <n v="26344.26"/>
        <n v="648030.4"/>
        <n v="197883.4"/>
        <n v="3876652.4"/>
        <n v="22312.29"/>
        <n v="856973.76"/>
        <n v="824431.86"/>
        <n v="247956.32"/>
        <n v="89623.98"/>
        <n v="835759.1"/>
        <n v="2251232.9700000002"/>
        <n v="71253.210000000006"/>
        <n v="380512.96"/>
        <n v="1082418.3999999999"/>
        <n v="1244708.3999999999"/>
        <n v="188452.14"/>
        <n v="3154398"/>
        <n v="140287.4"/>
        <n v="1212580"/>
        <n v="3593376.78"/>
        <n v="668356.48"/>
        <n v="745426"/>
        <n v="1957344.4"/>
        <n v="707454.88"/>
        <n v="600821.43999999994"/>
        <n v="5396577.2699999996"/>
        <n v="802333.76"/>
        <n v="3262562.1"/>
        <n v="6279.09"/>
        <n v="272410.45"/>
        <n v="1780539.2"/>
        <n v="4324782.4000000004"/>
        <n v="4647149.58"/>
        <n v="445033.55"/>
        <n v="574951.92000000004"/>
        <n v="2198981.92"/>
        <n v="4220728.8"/>
        <n v="3015902.51"/>
        <n v="861563.52"/>
        <n v="2836990.8"/>
        <n v="623289.30000000005"/>
        <n v="994765.42"/>
        <n v="524870.06000000006"/>
        <n v="418936.05"/>
        <n v="1419101.52"/>
        <n v="4870.26"/>
        <n v="221117"/>
        <n v="617347.07999999996"/>
        <n v="445508.05"/>
        <n v="1316095.4099999999"/>
        <n v="3458252"/>
        <n v="387002.2"/>
        <n v="97040.639999999999"/>
        <n v="58471.11"/>
        <n v="228779.1"/>
        <n v="471336.91"/>
        <n v="3586605.09"/>
      </sharedItems>
    </cacheField>
    <cacheField name="Total Cost (£)" numFmtId="43">
      <sharedItems containsSemiMixedTypes="0" containsString="0" containsNumber="1" minValue="3612.24" maxValue="4509793.96"/>
    </cacheField>
    <cacheField name="Total Profit (£)" numFmtId="43">
      <sharedItems containsSemiMixedTypes="0" containsString="0" containsNumber="1" minValue="1258.02" maxValue="1719922.04"/>
    </cacheField>
  </cacheFields>
  <extLst>
    <ext xmlns:x14="http://schemas.microsoft.com/office/spreadsheetml/2009/9/main" uri="{725AE2AE-9491-48be-B2B4-4EB974FC3084}">
      <x14:pivotCacheDefinition pivotCacheId="11111391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5.440050810183" createdVersion="8" refreshedVersion="8" minRefreshableVersion="3" recordCount="100" xr:uid="{F1FEA8A5-8AC9-457C-995B-90BF78D80087}">
  <cacheSource type="worksheet">
    <worksheetSource ref="A1:P101" sheet="Refined_Data"/>
  </cacheSource>
  <cacheFields count="16">
    <cacheField name="Region" numFmtId="164">
      <sharedItems count="7">
        <s v="Australia and Oceania"/>
        <s v="Central America and the Caribbean"/>
        <s v="Europe"/>
        <s v="Sub-Saharan Africa"/>
        <s v="Asia"/>
        <s v="Middle East and North Africa"/>
        <s v="North America"/>
      </sharedItems>
    </cacheField>
    <cacheField name="Country" numFmtId="164">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164">
      <sharedItems count="12">
        <s v="Baby Food"/>
        <s v="Cereal"/>
        <s v="Office Supplies"/>
        <s v="Fruits"/>
        <s v="Household"/>
        <s v="Vegetables"/>
        <s v="Personal Care"/>
        <s v="Clothes"/>
        <s v="Cosmetics"/>
        <s v="Beverages"/>
        <s v="Meat"/>
        <s v="Snacks"/>
      </sharedItems>
    </cacheField>
    <cacheField name="Sales Channel" numFmtId="164">
      <sharedItems count="2">
        <s v="Offline"/>
        <s v="Online"/>
      </sharedItems>
    </cacheField>
    <cacheField name="Order Priority" numFmtId="164">
      <sharedItems/>
    </cacheField>
    <cacheField name="Order Date" numFmtId="165">
      <sharedItems containsSemiMixedTypes="0" containsNonDate="0" containsDate="1" containsString="0" minDate="2010-02-02T00:00:00" maxDate="2017-05-23T00:00:00" count="100">
        <d v="2010-05-28T00:00:00"/>
        <d v="2012-08-22T00:00:00"/>
        <d v="2014-05-02T00:00:00"/>
        <d v="2014-06-20T00:00:00"/>
        <d v="2013-02-01T00:00:00"/>
        <d v="2015-02-04T00:00:00"/>
        <d v="2011-04-23T00:00:00"/>
        <d v="2012-07-17T00:00:00"/>
        <d v="2015-07-14T00:00:00"/>
        <d v="2014-04-18T00:00:00"/>
        <d v="2011-06-24T00:00:00"/>
        <d v="2014-08-02T00:00:00"/>
        <d v="2017-01-13T00:00:00"/>
        <d v="2017-02-08T00:00:00"/>
        <d v="2014-02-19T00:00:00"/>
        <d v="2012-04-23T00:00:00"/>
        <d v="2016-11-19T00:00:00"/>
        <d v="2015-04-01T00:00:00"/>
        <d v="2010-12-30T00:00:00"/>
        <d v="2012-07-31T00:00:00"/>
        <d v="2014-05-14T00:00:00"/>
        <d v="2015-07-31T00:00:00"/>
        <d v="2016-06-30T00:00:00"/>
        <d v="2014-09-08T00:00:00"/>
        <d v="2016-05-07T00:00:00"/>
        <d v="2017-05-22T00:00:00"/>
        <d v="2014-10-13T00:00:00"/>
        <d v="2010-05-07T00:00:00"/>
        <d v="2014-07-18T00:00:00"/>
        <d v="2012-05-26T00:00:00"/>
        <d v="2012-09-17T00:00:00"/>
        <d v="2013-12-29T00:00:00"/>
        <d v="2015-10-27T00:00:00"/>
        <d v="2015-01-16T00:00:00"/>
        <d v="2017-02-25T00:00:00"/>
        <d v="2017-05-08T00:00:00"/>
        <d v="2011-11-22T00:00:00"/>
        <d v="2017-01-14T00:00:00"/>
        <d v="2012-04-01T00:00:00"/>
        <d v="2012-02-16T00:00:00"/>
        <d v="2017-03-11T00:00:00"/>
        <d v="2010-02-06T00:00:00"/>
        <d v="2012-06-07T00:00:00"/>
        <d v="2012-10-06T00:00:00"/>
        <d v="2015-11-14T00:00:00"/>
        <d v="2016-03-29T00:00:00"/>
        <d v="2016-12-31T00:00:00"/>
        <d v="2010-12-23T00:00:00"/>
        <d v="2014-10-14T00:00:00"/>
        <d v="2012-01-11T00:00:00"/>
        <d v="2010-02-02T00:00:00"/>
        <d v="2013-08-18T00:00:00"/>
        <d v="2013-03-25T00:00:00"/>
        <d v="2011-11-26T00:00:00"/>
        <d v="2013-09-17T00:00:00"/>
        <d v="2012-06-08T00:00:00"/>
        <d v="2010-06-30T00:00:00"/>
        <d v="2015-02-23T00:00:00"/>
        <d v="2012-01-05T00:00:00"/>
        <d v="2014-04-07T00:00:00"/>
        <d v="2013-06-09T00:00:00"/>
        <d v="2013-06-26T00:00:00"/>
        <d v="2011-11-07T00:00:00"/>
        <d v="2010-10-30T00:00:00"/>
        <d v="2013-10-13T00:00:00"/>
        <d v="2013-10-11T00:00:00"/>
        <d v="2012-07-08T00:00:00"/>
        <d v="2016-07-25T00:00:00"/>
        <d v="2010-10-24T00:00:00"/>
        <d v="2015-04-25T00:00:00"/>
        <d v="2013-04-23T00:00:00"/>
        <d v="2015-08-14T00:00:00"/>
        <d v="2011-05-26T00:00:00"/>
        <d v="2017-05-20T00:00:00"/>
        <d v="2013-07-05T00:00:00"/>
        <d v="2014-11-06T00:00:00"/>
        <d v="2014-10-28T00:00:00"/>
        <d v="2011-09-15T00:00:00"/>
        <d v="2012-05-29T00:00:00"/>
        <d v="2013-07-20T00:00:00"/>
        <d v="2012-10-21T00:00:00"/>
        <d v="2012-09-18T00:00:00"/>
        <d v="2016-11-15T00:00:00"/>
        <d v="2011-01-04T00:00:00"/>
        <d v="2012-03-18T00:00:00"/>
        <d v="2012-02-17T00:00:00"/>
        <d v="2011-01-16T00:00:00"/>
        <d v="2014-02-03T00:00:00"/>
        <d v="2012-04-30T00:00:00"/>
        <d v="2016-10-23T00:00:00"/>
        <d v="2016-12-06T00:00:00"/>
        <d v="2014-07-07T00:00:00"/>
        <d v="2012-06-13T00:00:00"/>
        <d v="2010-11-26T00:00:00"/>
        <d v="2011-02-08T00:00:00"/>
        <d v="2011-07-26T00:00:00"/>
        <d v="2011-11-11T00:00:00"/>
        <d v="2016-06-01T00:00:00"/>
        <d v="2015-07-30T00:00:00"/>
        <d v="2012-02-10T00:00:00"/>
      </sharedItems>
    </cacheField>
    <cacheField name="Year" numFmtId="49">
      <sharedItems containsSemiMixedTypes="0" containsString="0" containsNumber="1" containsInteger="1" minValue="2010" maxValue="2017" count="8">
        <n v="2010"/>
        <n v="2012"/>
        <n v="2014"/>
        <n v="2013"/>
        <n v="2015"/>
        <n v="2011"/>
        <n v="2017"/>
        <n v="2016"/>
      </sharedItems>
    </cacheField>
    <cacheField name="Order ID" numFmtId="0">
      <sharedItems containsSemiMixedTypes="0" containsString="0" containsNumber="1" containsInteger="1" minValue="114606559" maxValue="994022214"/>
    </cacheField>
    <cacheField name="Ship Date" numFmtId="165">
      <sharedItems containsSemiMixedTypes="0" containsNonDate="0" containsDate="1" containsString="0" minDate="2010-02-25T00:00:00" maxDate="2017-06-18T00:00:00"/>
    </cacheField>
    <cacheField name="Units Sold" numFmtId="166">
      <sharedItems containsSemiMixedTypes="0" containsString="0" containsNumber="1" containsInteger="1" minValue="124" maxValue="9925"/>
    </cacheField>
    <cacheField name="Unit Price (£)" numFmtId="0">
      <sharedItems containsSemiMixedTypes="0" containsString="0" containsNumber="1" minValue="9.33" maxValue="668.27"/>
    </cacheField>
    <cacheField name="Unit Cost (£)" numFmtId="0">
      <sharedItems containsSemiMixedTypes="0" containsString="0" containsNumber="1" minValue="6.92" maxValue="524.96"/>
    </cacheField>
    <cacheField name="Total Revenue (£)" numFmtId="43">
      <sharedItems containsSemiMixedTypes="0" containsString="0" containsNumber="1" minValue="4870.26" maxValue="5997054.9800000004" count="100">
        <n v="2533654"/>
        <n v="576782.80000000005"/>
        <n v="1158502.5900000001"/>
        <n v="75591.66"/>
        <n v="3296425.02"/>
        <n v="759202.72"/>
        <n v="2798046.49"/>
        <n v="1245112.92"/>
        <n v="496101.1"/>
        <n v="1356180.1"/>
        <n v="19103.439999999999"/>
        <n v="455479.03999999998"/>
        <n v="902980.64"/>
        <n v="5997054.9800000004"/>
        <n v="400558.73"/>
        <n v="182825.44"/>
        <n v="3039414.4"/>
        <n v="257653.5"/>
        <n v="2559474.1"/>
        <n v="2492526.12"/>
        <n v="1901836"/>
        <n v="324971.44"/>
        <n v="339490.5"/>
        <n v="20404.71"/>
        <n v="414371.1"/>
        <n v="793518"/>
        <n v="50363.34"/>
        <n v="54319.26"/>
        <n v="243133.8"/>
        <n v="1583799.9"/>
        <n v="3786589.2"/>
        <n v="173676.25"/>
        <n v="1904138.04"/>
        <n v="5513227.5"/>
        <n v="1117953.6599999999"/>
        <n v="523807.57"/>
        <n v="35304.720000000001"/>
        <n v="2011149.63"/>
        <n v="4368316.68"/>
        <n v="2596374.27"/>
        <n v="246415.95"/>
        <n v="3162704.8"/>
        <n v="435466.9"/>
        <n v="26344.26"/>
        <n v="648030.4"/>
        <n v="197883.4"/>
        <n v="3876652.4"/>
        <n v="22312.29"/>
        <n v="856973.76"/>
        <n v="824431.86"/>
        <n v="247956.32"/>
        <n v="89623.98"/>
        <n v="835759.1"/>
        <n v="2251232.9700000002"/>
        <n v="71253.210000000006"/>
        <n v="380512.96"/>
        <n v="1082418.3999999999"/>
        <n v="1244708.3999999999"/>
        <n v="188452.14"/>
        <n v="3154398"/>
        <n v="140287.4"/>
        <n v="1212580"/>
        <n v="3593376.78"/>
        <n v="668356.48"/>
        <n v="745426"/>
        <n v="1957344.4"/>
        <n v="707454.88"/>
        <n v="600821.43999999994"/>
        <n v="5396577.2699999996"/>
        <n v="802333.76"/>
        <n v="3262562.1"/>
        <n v="6279.09"/>
        <n v="272410.45"/>
        <n v="1780539.2"/>
        <n v="4324782.4000000004"/>
        <n v="4647149.58"/>
        <n v="445033.55"/>
        <n v="574951.92000000004"/>
        <n v="2198981.92"/>
        <n v="4220728.8"/>
        <n v="3015902.51"/>
        <n v="861563.52"/>
        <n v="2836990.8"/>
        <n v="623289.30000000005"/>
        <n v="994765.42"/>
        <n v="524870.06000000006"/>
        <n v="418936.05"/>
        <n v="1419101.52"/>
        <n v="4870.26"/>
        <n v="221117"/>
        <n v="617347.07999999996"/>
        <n v="445508.05"/>
        <n v="1316095.4099999999"/>
        <n v="3458252"/>
        <n v="387002.2"/>
        <n v="97040.639999999999"/>
        <n v="58471.11"/>
        <n v="228779.1"/>
        <n v="471336.91"/>
        <n v="3586605.09"/>
      </sharedItems>
    </cacheField>
    <cacheField name="Total Cost (£)" numFmtId="43">
      <sharedItems containsSemiMixedTypes="0" containsString="0" containsNumber="1" minValue="3612.24" maxValue="4509793.96"/>
    </cacheField>
    <cacheField name="Total Profit (£)" numFmtId="43">
      <sharedItems containsSemiMixedTypes="0" containsString="0" containsNumber="1" minValue="1258.02" maxValue="1719922.04"/>
    </cacheField>
    <cacheField name="Gross Margin" numFmtId="9">
      <sharedItems containsSemiMixedTypes="0" containsString="0" containsNumber="1" minValue="0.13558036455000116" maxValue="0.67203513909224022"/>
    </cacheField>
  </cacheFields>
  <extLst>
    <ext xmlns:x14="http://schemas.microsoft.com/office/spreadsheetml/2009/9/main" uri="{725AE2AE-9491-48be-B2B4-4EB974FC3084}">
      <x14:pivotCacheDefinition pivotCacheId="1286894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Offline"/>
    <s v="H"/>
    <x v="0"/>
    <x v="0"/>
    <n v="669165933"/>
    <d v="2010-06-27T00:00:00"/>
    <n v="9925"/>
    <n v="255.28"/>
    <n v="159.41999999999999"/>
    <x v="0"/>
    <n v="1582243.5"/>
    <n v="951410.5"/>
  </r>
  <r>
    <x v="1"/>
    <x v="1"/>
    <x v="1"/>
    <s v="Online"/>
    <s v="C"/>
    <x v="1"/>
    <x v="1"/>
    <n v="963881480"/>
    <d v="2012-09-15T00:00:00"/>
    <n v="2804"/>
    <n v="205.7"/>
    <n v="117.11"/>
    <x v="1"/>
    <n v="328376.44"/>
    <n v="248406.36"/>
  </r>
  <r>
    <x v="2"/>
    <x v="2"/>
    <x v="2"/>
    <s v="Offline"/>
    <s v="L"/>
    <x v="2"/>
    <x v="2"/>
    <n v="341417157"/>
    <d v="2014-05-08T00:00:00"/>
    <n v="1779"/>
    <n v="651.21"/>
    <n v="524.96"/>
    <x v="2"/>
    <n v="933903.84"/>
    <n v="224598.75"/>
  </r>
  <r>
    <x v="3"/>
    <x v="3"/>
    <x v="3"/>
    <s v="Online"/>
    <s v="C"/>
    <x v="3"/>
    <x v="2"/>
    <n v="514321792"/>
    <d v="2014-07-05T00:00:00"/>
    <n v="8102"/>
    <n v="9.33"/>
    <n v="6.92"/>
    <x v="3"/>
    <n v="56065.84"/>
    <n v="19525.82"/>
  </r>
  <r>
    <x v="3"/>
    <x v="4"/>
    <x v="2"/>
    <s v="Offline"/>
    <s v="L"/>
    <x v="4"/>
    <x v="3"/>
    <n v="115456712"/>
    <d v="2013-02-06T00:00:00"/>
    <n v="5062"/>
    <n v="651.21"/>
    <n v="524.96"/>
    <x v="4"/>
    <n v="2657347.52"/>
    <n v="639077.5"/>
  </r>
  <r>
    <x v="0"/>
    <x v="5"/>
    <x v="0"/>
    <s v="Online"/>
    <s v="C"/>
    <x v="5"/>
    <x v="4"/>
    <n v="547995746"/>
    <d v="2015-02-21T00:00:00"/>
    <n v="2974"/>
    <n v="255.28"/>
    <n v="159.41999999999999"/>
    <x v="5"/>
    <n v="474115.08"/>
    <n v="285087.64"/>
  </r>
  <r>
    <x v="3"/>
    <x v="6"/>
    <x v="4"/>
    <s v="Offline"/>
    <s v="M"/>
    <x v="6"/>
    <x v="5"/>
    <n v="135425221"/>
    <d v="2011-04-27T00:00:00"/>
    <n v="4187"/>
    <n v="668.27"/>
    <n v="502.54"/>
    <x v="6"/>
    <n v="2104134.98"/>
    <n v="693911.51"/>
  </r>
  <r>
    <x v="3"/>
    <x v="7"/>
    <x v="5"/>
    <s v="Online"/>
    <s v="H"/>
    <x v="7"/>
    <x v="1"/>
    <n v="871543967"/>
    <d v="2012-07-27T00:00:00"/>
    <n v="8082"/>
    <n v="154.06"/>
    <n v="90.93"/>
    <x v="7"/>
    <n v="734896.26"/>
    <n v="510216.66"/>
  </r>
  <r>
    <x v="3"/>
    <x v="8"/>
    <x v="6"/>
    <s v="Offline"/>
    <s v="M"/>
    <x v="8"/>
    <x v="4"/>
    <n v="770463311"/>
    <d v="2015-08-25T00:00:00"/>
    <n v="6070"/>
    <n v="81.73"/>
    <n v="56.67"/>
    <x v="8"/>
    <n v="343986.9"/>
    <n v="152114.20000000001"/>
  </r>
  <r>
    <x v="3"/>
    <x v="9"/>
    <x v="1"/>
    <s v="Online"/>
    <s v="H"/>
    <x v="9"/>
    <x v="2"/>
    <n v="616607081"/>
    <d v="2014-05-30T00:00:00"/>
    <n v="6593"/>
    <n v="205.7"/>
    <n v="117.11"/>
    <x v="9"/>
    <n v="772106.23"/>
    <n v="584073.87"/>
  </r>
  <r>
    <x v="4"/>
    <x v="10"/>
    <x v="5"/>
    <s v="Online"/>
    <s v="H"/>
    <x v="10"/>
    <x v="5"/>
    <n v="814711606"/>
    <d v="2011-07-12T00:00:00"/>
    <n v="124"/>
    <n v="154.06"/>
    <n v="90.93"/>
    <x v="10"/>
    <n v="11275.32"/>
    <n v="7828.12"/>
  </r>
  <r>
    <x v="3"/>
    <x v="11"/>
    <x v="7"/>
    <s v="Offline"/>
    <s v="H"/>
    <x v="11"/>
    <x v="2"/>
    <n v="939825713"/>
    <d v="2014-08-19T00:00:00"/>
    <n v="4168"/>
    <n v="109.28"/>
    <n v="35.840000000000003"/>
    <x v="11"/>
    <n v="149381.12"/>
    <n v="306097.91999999998"/>
  </r>
  <r>
    <x v="4"/>
    <x v="12"/>
    <x v="7"/>
    <s v="Online"/>
    <s v="L"/>
    <x v="12"/>
    <x v="6"/>
    <n v="187310731"/>
    <d v="2017-03-01T00:00:00"/>
    <n v="8263"/>
    <n v="109.28"/>
    <n v="35.840000000000003"/>
    <x v="12"/>
    <n v="296145.91999999998"/>
    <n v="606834.72"/>
  </r>
  <r>
    <x v="1"/>
    <x v="13"/>
    <x v="4"/>
    <s v="Offline"/>
    <s v="H"/>
    <x v="13"/>
    <x v="6"/>
    <n v="522840487"/>
    <d v="2017-02-13T00:00:00"/>
    <n v="8974"/>
    <n v="668.27"/>
    <n v="502.54"/>
    <x v="13"/>
    <n v="4509793.96"/>
    <n v="1487261.02"/>
  </r>
  <r>
    <x v="4"/>
    <x v="14"/>
    <x v="6"/>
    <s v="Offline"/>
    <s v="C"/>
    <x v="14"/>
    <x v="2"/>
    <n v="832401311"/>
    <d v="2014-02-23T00:00:00"/>
    <n v="4901"/>
    <n v="81.73"/>
    <n v="56.67"/>
    <x v="14"/>
    <n v="277739.67"/>
    <n v="122819.06"/>
  </r>
  <r>
    <x v="2"/>
    <x v="15"/>
    <x v="7"/>
    <s v="Online"/>
    <s v="M"/>
    <x v="15"/>
    <x v="1"/>
    <n v="972292029"/>
    <d v="2012-06-03T00:00:00"/>
    <n v="1673"/>
    <n v="109.28"/>
    <n v="35.840000000000003"/>
    <x v="15"/>
    <n v="59960.32"/>
    <n v="122865.12"/>
  </r>
  <r>
    <x v="4"/>
    <x v="16"/>
    <x v="8"/>
    <s v="Offline"/>
    <s v="M"/>
    <x v="16"/>
    <x v="7"/>
    <n v="419123971"/>
    <d v="2016-12-18T00:00:00"/>
    <n v="6952"/>
    <n v="437.2"/>
    <n v="263.33"/>
    <x v="16"/>
    <n v="1830670.16"/>
    <n v="1208744.24"/>
  </r>
  <r>
    <x v="3"/>
    <x v="17"/>
    <x v="9"/>
    <s v="Offline"/>
    <s v="C"/>
    <x v="17"/>
    <x v="4"/>
    <n v="519820964"/>
    <d v="2015-04-18T00:00:00"/>
    <n v="5430"/>
    <n v="47.45"/>
    <n v="31.79"/>
    <x v="17"/>
    <n v="172619.7"/>
    <n v="85033.8"/>
  </r>
  <r>
    <x v="4"/>
    <x v="18"/>
    <x v="4"/>
    <s v="Offline"/>
    <s v="L"/>
    <x v="18"/>
    <x v="0"/>
    <n v="441619336"/>
    <d v="2011-01-20T00:00:00"/>
    <n v="3830"/>
    <n v="668.27"/>
    <n v="502.54"/>
    <x v="18"/>
    <n v="1924728.2"/>
    <n v="634745.9"/>
  </r>
  <r>
    <x v="0"/>
    <x v="19"/>
    <x v="10"/>
    <s v="Online"/>
    <s v="L"/>
    <x v="19"/>
    <x v="1"/>
    <n v="322067916"/>
    <d v="2012-09-11T00:00:00"/>
    <n v="5908"/>
    <n v="421.89"/>
    <n v="364.69"/>
    <x v="19"/>
    <n v="2154588.52"/>
    <n v="337937.6"/>
  </r>
  <r>
    <x v="2"/>
    <x v="20"/>
    <x v="0"/>
    <s v="Online"/>
    <s v="L"/>
    <x v="20"/>
    <x v="2"/>
    <n v="819028031"/>
    <d v="2014-06-28T00:00:00"/>
    <n v="7450"/>
    <n v="255.28"/>
    <n v="159.41999999999999"/>
    <x v="20"/>
    <n v="1187679"/>
    <n v="714157"/>
  </r>
  <r>
    <x v="2"/>
    <x v="21"/>
    <x v="0"/>
    <s v="Online"/>
    <s v="H"/>
    <x v="21"/>
    <x v="4"/>
    <n v="860673511"/>
    <d v="2015-09-03T00:00:00"/>
    <n v="1273"/>
    <n v="255.28"/>
    <n v="159.41999999999999"/>
    <x v="21"/>
    <n v="202941.66"/>
    <n v="122029.78"/>
  </r>
  <r>
    <x v="1"/>
    <x v="13"/>
    <x v="11"/>
    <s v="Online"/>
    <s v="L"/>
    <x v="22"/>
    <x v="7"/>
    <n v="795490682"/>
    <d v="2016-07-26T00:00:00"/>
    <n v="2225"/>
    <n v="152.58000000000001"/>
    <n v="97.44"/>
    <x v="22"/>
    <n v="216804"/>
    <n v="122686.5"/>
  </r>
  <r>
    <x v="0"/>
    <x v="22"/>
    <x v="3"/>
    <s v="Online"/>
    <s v="H"/>
    <x v="23"/>
    <x v="2"/>
    <n v="142278373"/>
    <d v="2014-10-04T00:00:00"/>
    <n v="2187"/>
    <n v="9.33"/>
    <n v="6.92"/>
    <x v="23"/>
    <n v="15134.04"/>
    <n v="5270.67"/>
  </r>
  <r>
    <x v="2"/>
    <x v="23"/>
    <x v="6"/>
    <s v="Online"/>
    <s v="L"/>
    <x v="24"/>
    <x v="7"/>
    <n v="740147912"/>
    <d v="2016-05-10T00:00:00"/>
    <n v="5070"/>
    <n v="81.73"/>
    <n v="56.67"/>
    <x v="24"/>
    <n v="287316.90000000002"/>
    <n v="127054.2"/>
  </r>
  <r>
    <x v="2"/>
    <x v="24"/>
    <x v="8"/>
    <s v="Online"/>
    <s v="H"/>
    <x v="25"/>
    <x v="6"/>
    <n v="898523128"/>
    <d v="2017-06-05T00:00:00"/>
    <n v="1815"/>
    <n v="437.2"/>
    <n v="263.33"/>
    <x v="25"/>
    <n v="477943.95"/>
    <n v="315574.05"/>
  </r>
  <r>
    <x v="0"/>
    <x v="25"/>
    <x v="3"/>
    <s v="Online"/>
    <s v="M"/>
    <x v="26"/>
    <x v="2"/>
    <n v="347140347"/>
    <d v="2014-11-10T00:00:00"/>
    <n v="5398"/>
    <n v="9.33"/>
    <n v="6.92"/>
    <x v="26"/>
    <n v="37354.160000000003"/>
    <n v="13009.18"/>
  </r>
  <r>
    <x v="3"/>
    <x v="26"/>
    <x v="3"/>
    <s v="Online"/>
    <s v="L"/>
    <x v="27"/>
    <x v="0"/>
    <n v="686048400"/>
    <d v="2010-05-10T00:00:00"/>
    <n v="5822"/>
    <n v="9.33"/>
    <n v="6.92"/>
    <x v="27"/>
    <n v="40288.239999999998"/>
    <n v="14031.02"/>
  </r>
  <r>
    <x v="2"/>
    <x v="20"/>
    <x v="9"/>
    <s v="Offline"/>
    <s v="C"/>
    <x v="28"/>
    <x v="2"/>
    <n v="435608613"/>
    <d v="2014-07-30T00:00:00"/>
    <n v="5124"/>
    <n v="47.45"/>
    <n v="31.79"/>
    <x v="28"/>
    <n v="162891.96"/>
    <n v="80241.84"/>
  </r>
  <r>
    <x v="3"/>
    <x v="27"/>
    <x v="4"/>
    <s v="Offline"/>
    <s v="L"/>
    <x v="29"/>
    <x v="1"/>
    <n v="886494815"/>
    <d v="2012-06-09T00:00:00"/>
    <n v="2370"/>
    <n v="668.27"/>
    <n v="502.54"/>
    <x v="29"/>
    <n v="1191019.8"/>
    <n v="392780.1"/>
  </r>
  <r>
    <x v="2"/>
    <x v="28"/>
    <x v="8"/>
    <s v="Offline"/>
    <s v="M"/>
    <x v="30"/>
    <x v="1"/>
    <n v="249693334"/>
    <d v="2012-10-20T00:00:00"/>
    <n v="8661"/>
    <n v="437.2"/>
    <n v="263.33"/>
    <x v="30"/>
    <n v="2280701.13"/>
    <n v="1505888.07"/>
  </r>
  <r>
    <x v="3"/>
    <x v="29"/>
    <x v="6"/>
    <s v="Offline"/>
    <s v="C"/>
    <x v="31"/>
    <x v="3"/>
    <n v="406502997"/>
    <d v="2014-01-28T00:00:00"/>
    <n v="2125"/>
    <n v="81.73"/>
    <n v="56.67"/>
    <x v="31"/>
    <n v="120423.75"/>
    <n v="53252.5"/>
  </r>
  <r>
    <x v="0"/>
    <x v="30"/>
    <x v="2"/>
    <s v="Online"/>
    <s v="C"/>
    <x v="32"/>
    <x v="4"/>
    <n v="158535134"/>
    <d v="2015-11-25T00:00:00"/>
    <n v="2924"/>
    <n v="651.21"/>
    <n v="524.96"/>
    <x v="32"/>
    <n v="1534983.04"/>
    <n v="369155"/>
  </r>
  <r>
    <x v="4"/>
    <x v="31"/>
    <x v="4"/>
    <s v="Offline"/>
    <s v="H"/>
    <x v="33"/>
    <x v="4"/>
    <n v="177713572"/>
    <d v="2015-03-01T00:00:00"/>
    <n v="8250"/>
    <n v="668.27"/>
    <n v="502.54"/>
    <x v="33"/>
    <n v="4145955"/>
    <n v="1367272.5"/>
  </r>
  <r>
    <x v="3"/>
    <x v="32"/>
    <x v="11"/>
    <s v="Online"/>
    <s v="M"/>
    <x v="34"/>
    <x v="6"/>
    <n v="756274640"/>
    <d v="2017-02-25T00:00:00"/>
    <n v="7327"/>
    <n v="152.58000000000001"/>
    <n v="97.44"/>
    <x v="34"/>
    <n v="713942.88"/>
    <n v="404010.78"/>
  </r>
  <r>
    <x v="1"/>
    <x v="33"/>
    <x v="6"/>
    <s v="Offline"/>
    <s v="L"/>
    <x v="35"/>
    <x v="6"/>
    <n v="456767165"/>
    <d v="2017-05-21T00:00:00"/>
    <n v="6409"/>
    <n v="81.73"/>
    <n v="56.67"/>
    <x v="35"/>
    <n v="363198.03"/>
    <n v="160609.54"/>
  </r>
  <r>
    <x v="5"/>
    <x v="34"/>
    <x v="3"/>
    <s v="Online"/>
    <s v="L"/>
    <x v="36"/>
    <x v="5"/>
    <n v="162052476"/>
    <d v="2011-12-03T00:00:00"/>
    <n v="3784"/>
    <n v="9.33"/>
    <n v="6.92"/>
    <x v="36"/>
    <n v="26185.279999999999"/>
    <n v="9119.44"/>
  </r>
  <r>
    <x v="3"/>
    <x v="27"/>
    <x v="10"/>
    <s v="Online"/>
    <s v="M"/>
    <x v="37"/>
    <x v="6"/>
    <n v="825304400"/>
    <d v="2017-01-23T00:00:00"/>
    <n v="4767"/>
    <n v="421.89"/>
    <n v="364.69"/>
    <x v="37"/>
    <n v="1738477.23"/>
    <n v="272672.40000000002"/>
  </r>
  <r>
    <x v="4"/>
    <x v="35"/>
    <x v="2"/>
    <s v="Online"/>
    <s v="L"/>
    <x v="38"/>
    <x v="1"/>
    <n v="320009267"/>
    <d v="2012-05-08T00:00:00"/>
    <n v="6708"/>
    <n v="651.21"/>
    <n v="524.96"/>
    <x v="38"/>
    <n v="3521431.68"/>
    <n v="846885"/>
  </r>
  <r>
    <x v="2"/>
    <x v="15"/>
    <x v="2"/>
    <s v="Online"/>
    <s v="M"/>
    <x v="39"/>
    <x v="1"/>
    <n v="189965903"/>
    <d v="2012-02-28T00:00:00"/>
    <n v="3987"/>
    <n v="651.21"/>
    <n v="524.96"/>
    <x v="39"/>
    <n v="2093015.52"/>
    <n v="503358.75"/>
  </r>
  <r>
    <x v="3"/>
    <x v="36"/>
    <x v="6"/>
    <s v="Online"/>
    <s v="H"/>
    <x v="40"/>
    <x v="6"/>
    <n v="699285638"/>
    <d v="2017-03-28T00:00:00"/>
    <n v="3015"/>
    <n v="81.73"/>
    <n v="56.67"/>
    <x v="40"/>
    <n v="170860.05"/>
    <n v="75555.899999999994"/>
  </r>
  <r>
    <x v="5"/>
    <x v="37"/>
    <x v="8"/>
    <s v="Online"/>
    <s v="M"/>
    <x v="41"/>
    <x v="0"/>
    <n v="382392299"/>
    <d v="2010-02-25T00:00:00"/>
    <n v="7234"/>
    <n v="437.2"/>
    <n v="263.33"/>
    <x v="41"/>
    <n v="1904929.22"/>
    <n v="1257775.58"/>
  </r>
  <r>
    <x v="3"/>
    <x v="27"/>
    <x v="1"/>
    <s v="Offline"/>
    <s v="H"/>
    <x v="42"/>
    <x v="1"/>
    <n v="994022214"/>
    <d v="2012-06-08T00:00:00"/>
    <n v="2117"/>
    <n v="205.7"/>
    <n v="117.11"/>
    <x v="42"/>
    <n v="247921.87"/>
    <n v="187545.03"/>
  </r>
  <r>
    <x v="2"/>
    <x v="38"/>
    <x v="5"/>
    <s v="Online"/>
    <s v="H"/>
    <x v="43"/>
    <x v="1"/>
    <n v="759224212"/>
    <d v="2012-11-10T00:00:00"/>
    <n v="171"/>
    <n v="154.06"/>
    <n v="90.93"/>
    <x v="43"/>
    <n v="15549.03"/>
    <n v="10795.23"/>
  </r>
  <r>
    <x v="4"/>
    <x v="31"/>
    <x v="7"/>
    <s v="Online"/>
    <s v="H"/>
    <x v="44"/>
    <x v="4"/>
    <n v="223359620"/>
    <d v="2015-11-18T00:00:00"/>
    <n v="5930"/>
    <n v="109.28"/>
    <n v="35.840000000000003"/>
    <x v="44"/>
    <n v="212531.20000000001"/>
    <n v="435499.2"/>
  </r>
  <r>
    <x v="3"/>
    <x v="39"/>
    <x v="1"/>
    <s v="Offline"/>
    <s v="H"/>
    <x v="45"/>
    <x v="7"/>
    <n v="902102267"/>
    <d v="2016-04-29T00:00:00"/>
    <n v="962"/>
    <n v="205.7"/>
    <n v="117.11"/>
    <x v="45"/>
    <n v="112659.82"/>
    <n v="85223.58"/>
  </r>
  <r>
    <x v="2"/>
    <x v="40"/>
    <x v="8"/>
    <s v="Online"/>
    <s v="C"/>
    <x v="46"/>
    <x v="7"/>
    <n v="331438481"/>
    <d v="2016-12-31T00:00:00"/>
    <n v="8867"/>
    <n v="437.2"/>
    <n v="263.33"/>
    <x v="46"/>
    <n v="2334947.11"/>
    <n v="1541705.29"/>
  </r>
  <r>
    <x v="2"/>
    <x v="28"/>
    <x v="6"/>
    <s v="Online"/>
    <s v="M"/>
    <x v="47"/>
    <x v="0"/>
    <n v="617667090"/>
    <d v="2011-01-31T00:00:00"/>
    <n v="273"/>
    <n v="81.73"/>
    <n v="56.67"/>
    <x v="47"/>
    <n v="15470.91"/>
    <n v="6841.38"/>
  </r>
  <r>
    <x v="2"/>
    <x v="41"/>
    <x v="7"/>
    <s v="Offline"/>
    <s v="C"/>
    <x v="48"/>
    <x v="2"/>
    <n v="787399423"/>
    <d v="2014-11-14T00:00:00"/>
    <n v="7842"/>
    <n v="109.28"/>
    <n v="35.840000000000003"/>
    <x v="48"/>
    <n v="281057.28000000003"/>
    <n v="575916.48"/>
  </r>
  <r>
    <x v="3"/>
    <x v="42"/>
    <x v="2"/>
    <s v="Offline"/>
    <s v="C"/>
    <x v="49"/>
    <x v="1"/>
    <n v="837559306"/>
    <d v="2012-01-13T00:00:00"/>
    <n v="1266"/>
    <n v="651.21"/>
    <n v="524.96"/>
    <x v="49"/>
    <n v="664599.36"/>
    <n v="159832.5"/>
  </r>
  <r>
    <x v="2"/>
    <x v="43"/>
    <x v="7"/>
    <s v="Online"/>
    <s v="C"/>
    <x v="50"/>
    <x v="0"/>
    <n v="385383069"/>
    <d v="2010-03-18T00:00:00"/>
    <n v="2269"/>
    <n v="109.28"/>
    <n v="35.840000000000003"/>
    <x v="50"/>
    <n v="81320.960000000006"/>
    <n v="166635.35999999999"/>
  </r>
  <r>
    <x v="3"/>
    <x v="44"/>
    <x v="3"/>
    <s v="Online"/>
    <s v="L"/>
    <x v="51"/>
    <x v="3"/>
    <n v="918419539"/>
    <d v="2013-09-18T00:00:00"/>
    <n v="9606"/>
    <n v="9.33"/>
    <n v="6.92"/>
    <x v="51"/>
    <n v="66473.52"/>
    <n v="23150.46"/>
  </r>
  <r>
    <x v="5"/>
    <x v="45"/>
    <x v="1"/>
    <s v="Online"/>
    <s v="M"/>
    <x v="52"/>
    <x v="3"/>
    <n v="844530045"/>
    <d v="2013-03-28T00:00:00"/>
    <n v="4063"/>
    <n v="205.7"/>
    <n v="117.11"/>
    <x v="52"/>
    <n v="475817.93"/>
    <n v="359941.17"/>
  </r>
  <r>
    <x v="3"/>
    <x v="46"/>
    <x v="2"/>
    <s v="Offline"/>
    <s v="M"/>
    <x v="53"/>
    <x v="5"/>
    <n v="441888415"/>
    <d v="2012-01-07T00:00:00"/>
    <n v="3457"/>
    <n v="651.21"/>
    <n v="524.96"/>
    <x v="53"/>
    <n v="1814786.72"/>
    <n v="436446.25"/>
  </r>
  <r>
    <x v="3"/>
    <x v="3"/>
    <x v="3"/>
    <s v="Offline"/>
    <s v="H"/>
    <x v="54"/>
    <x v="3"/>
    <n v="508980977"/>
    <d v="2013-10-24T00:00:00"/>
    <n v="7637"/>
    <n v="9.33"/>
    <n v="6.92"/>
    <x v="54"/>
    <n v="52848.04"/>
    <n v="18405.169999999998"/>
  </r>
  <r>
    <x v="3"/>
    <x v="47"/>
    <x v="7"/>
    <s v="Online"/>
    <s v="C"/>
    <x v="55"/>
    <x v="1"/>
    <n v="114606559"/>
    <d v="2012-06-27T00:00:00"/>
    <n v="3482"/>
    <n v="109.28"/>
    <n v="35.840000000000003"/>
    <x v="55"/>
    <n v="124794.88"/>
    <n v="255718.08"/>
  </r>
  <r>
    <x v="0"/>
    <x v="48"/>
    <x v="7"/>
    <s v="Offline"/>
    <s v="C"/>
    <x v="56"/>
    <x v="0"/>
    <n v="647876489"/>
    <d v="2010-08-01T00:00:00"/>
    <n v="9905"/>
    <n v="109.28"/>
    <n v="35.840000000000003"/>
    <x v="56"/>
    <n v="354995.20000000001"/>
    <n v="727423.2"/>
  </r>
  <r>
    <x v="2"/>
    <x v="49"/>
    <x v="8"/>
    <s v="Offline"/>
    <s v="H"/>
    <x v="57"/>
    <x v="4"/>
    <n v="868214595"/>
    <d v="2015-03-02T00:00:00"/>
    <n v="2847"/>
    <n v="437.2"/>
    <n v="263.33"/>
    <x v="57"/>
    <n v="749700.51"/>
    <n v="495007.89"/>
  </r>
  <r>
    <x v="2"/>
    <x v="50"/>
    <x v="4"/>
    <s v="Online"/>
    <s v="L"/>
    <x v="58"/>
    <x v="1"/>
    <n v="955357205"/>
    <d v="2012-02-14T00:00:00"/>
    <n v="282"/>
    <n v="668.27"/>
    <n v="502.54"/>
    <x v="58"/>
    <n v="141716.28"/>
    <n v="46735.86"/>
  </r>
  <r>
    <x v="3"/>
    <x v="32"/>
    <x v="8"/>
    <s v="Offline"/>
    <s v="H"/>
    <x v="59"/>
    <x v="2"/>
    <n v="259353148"/>
    <d v="2014-04-19T00:00:00"/>
    <n v="7215"/>
    <n v="437.2"/>
    <n v="263.33"/>
    <x v="59"/>
    <n v="1899925.95"/>
    <n v="1254472.05"/>
  </r>
  <r>
    <x v="0"/>
    <x v="30"/>
    <x v="1"/>
    <s v="Offline"/>
    <s v="H"/>
    <x v="60"/>
    <x v="3"/>
    <n v="450563752"/>
    <d v="2013-07-02T00:00:00"/>
    <n v="682"/>
    <n v="205.7"/>
    <n v="117.11"/>
    <x v="60"/>
    <n v="79869.02"/>
    <n v="60418.38"/>
  </r>
  <r>
    <x v="2"/>
    <x v="51"/>
    <x v="0"/>
    <s v="Online"/>
    <s v="L"/>
    <x v="61"/>
    <x v="3"/>
    <n v="569662845"/>
    <d v="2013-07-01T00:00:00"/>
    <n v="4750"/>
    <n v="255.28"/>
    <n v="159.41999999999999"/>
    <x v="61"/>
    <n v="757245"/>
    <n v="455335"/>
  </r>
  <r>
    <x v="3"/>
    <x v="17"/>
    <x v="2"/>
    <s v="Online"/>
    <s v="M"/>
    <x v="62"/>
    <x v="5"/>
    <n v="177636754"/>
    <d v="2011-11-15T00:00:00"/>
    <n v="5518"/>
    <n v="651.21"/>
    <n v="524.96"/>
    <x v="62"/>
    <n v="2896729.28"/>
    <n v="696647.5"/>
  </r>
  <r>
    <x v="5"/>
    <x v="52"/>
    <x v="7"/>
    <s v="Offline"/>
    <s v="H"/>
    <x v="63"/>
    <x v="0"/>
    <n v="705784308"/>
    <d v="2010-11-17T00:00:00"/>
    <n v="6116"/>
    <n v="109.28"/>
    <n v="35.840000000000003"/>
    <x v="63"/>
    <n v="219197.44"/>
    <n v="449159.04"/>
  </r>
  <r>
    <x v="1"/>
    <x v="53"/>
    <x v="8"/>
    <s v="Offline"/>
    <s v="H"/>
    <x v="64"/>
    <x v="3"/>
    <n v="505716836"/>
    <d v="2013-11-16T00:00:00"/>
    <n v="1705"/>
    <n v="437.2"/>
    <n v="263.33"/>
    <x v="64"/>
    <n v="448977.65"/>
    <n v="296448.34999999998"/>
  </r>
  <r>
    <x v="3"/>
    <x v="4"/>
    <x v="8"/>
    <s v="Offline"/>
    <s v="H"/>
    <x v="65"/>
    <x v="3"/>
    <n v="699358165"/>
    <d v="2013-11-25T00:00:00"/>
    <n v="4477"/>
    <n v="437.2"/>
    <n v="263.33"/>
    <x v="65"/>
    <n v="1178928.4099999999"/>
    <n v="778415.99"/>
  </r>
  <r>
    <x v="3"/>
    <x v="54"/>
    <x v="6"/>
    <s v="Offline"/>
    <s v="L"/>
    <x v="66"/>
    <x v="1"/>
    <n v="228944623"/>
    <d v="2012-07-09T00:00:00"/>
    <n v="8656"/>
    <n v="81.73"/>
    <n v="56.67"/>
    <x v="66"/>
    <n v="490535.52"/>
    <n v="216919.36"/>
  </r>
  <r>
    <x v="1"/>
    <x v="55"/>
    <x v="7"/>
    <s v="Offline"/>
    <s v="M"/>
    <x v="67"/>
    <x v="7"/>
    <n v="807025039"/>
    <d v="2016-09-07T00:00:00"/>
    <n v="5498"/>
    <n v="109.28"/>
    <n v="35.840000000000003"/>
    <x v="67"/>
    <n v="197048.32000000001"/>
    <n v="403773.12"/>
  </r>
  <r>
    <x v="2"/>
    <x v="56"/>
    <x v="2"/>
    <s v="Offline"/>
    <s v="H"/>
    <x v="68"/>
    <x v="0"/>
    <n v="166460740"/>
    <d v="2010-11-17T00:00:00"/>
    <n v="8287"/>
    <n v="651.21"/>
    <n v="524.96"/>
    <x v="68"/>
    <n v="4350343.5199999996"/>
    <n v="1046233.75"/>
  </r>
  <r>
    <x v="3"/>
    <x v="57"/>
    <x v="7"/>
    <s v="Offline"/>
    <s v="L"/>
    <x v="69"/>
    <x v="4"/>
    <n v="610425555"/>
    <d v="2015-05-28T00:00:00"/>
    <n v="7342"/>
    <n v="109.28"/>
    <n v="35.840000000000003"/>
    <x v="69"/>
    <n v="263137.28000000003"/>
    <n v="539196.48"/>
  </r>
  <r>
    <x v="4"/>
    <x v="18"/>
    <x v="2"/>
    <s v="Online"/>
    <s v="M"/>
    <x v="70"/>
    <x v="3"/>
    <n v="462405812"/>
    <d v="2013-05-20T00:00:00"/>
    <n v="5010"/>
    <n v="651.21"/>
    <n v="524.96"/>
    <x v="70"/>
    <n v="2630049.6"/>
    <n v="632512.5"/>
  </r>
  <r>
    <x v="5"/>
    <x v="52"/>
    <x v="3"/>
    <s v="Online"/>
    <s v="L"/>
    <x v="71"/>
    <x v="4"/>
    <n v="816200339"/>
    <d v="2015-09-30T00:00:00"/>
    <n v="673"/>
    <n v="9.33"/>
    <n v="6.92"/>
    <x v="71"/>
    <n v="4657.16"/>
    <n v="1621.93"/>
  </r>
  <r>
    <x v="3"/>
    <x v="58"/>
    <x v="9"/>
    <s v="Online"/>
    <s v="C"/>
    <x v="72"/>
    <x v="5"/>
    <n v="585920464"/>
    <d v="2011-07-15T00:00:00"/>
    <n v="5741"/>
    <n v="47.45"/>
    <n v="31.79"/>
    <x v="72"/>
    <n v="182506.39"/>
    <n v="89904.06"/>
  </r>
  <r>
    <x v="3"/>
    <x v="32"/>
    <x v="1"/>
    <s v="Online"/>
    <s v="H"/>
    <x v="73"/>
    <x v="6"/>
    <n v="555990016"/>
    <d v="2017-06-17T00:00:00"/>
    <n v="8656"/>
    <n v="205.7"/>
    <n v="117.11"/>
    <x v="73"/>
    <n v="1013704.16"/>
    <n v="766835.04"/>
  </r>
  <r>
    <x v="5"/>
    <x v="59"/>
    <x v="8"/>
    <s v="Offline"/>
    <s v="L"/>
    <x v="74"/>
    <x v="3"/>
    <n v="231145322"/>
    <d v="2013-08-16T00:00:00"/>
    <n v="9892"/>
    <n v="437.2"/>
    <n v="263.33"/>
    <x v="74"/>
    <n v="2604860.36"/>
    <n v="1719922.04"/>
  </r>
  <r>
    <x v="6"/>
    <x v="60"/>
    <x v="4"/>
    <s v="Offline"/>
    <s v="C"/>
    <x v="75"/>
    <x v="2"/>
    <n v="986435210"/>
    <d v="2014-12-12T00:00:00"/>
    <n v="6954"/>
    <n v="668.27"/>
    <n v="502.54"/>
    <x v="75"/>
    <n v="3494663.16"/>
    <n v="1152486.42"/>
  </r>
  <r>
    <x v="0"/>
    <x v="61"/>
    <x v="9"/>
    <s v="Online"/>
    <s v="C"/>
    <x v="76"/>
    <x v="2"/>
    <n v="217221009"/>
    <d v="2014-11-15T00:00:00"/>
    <n v="9379"/>
    <n v="47.45"/>
    <n v="31.79"/>
    <x v="76"/>
    <n v="298158.40999999997"/>
    <n v="146875.14000000001"/>
  </r>
  <r>
    <x v="4"/>
    <x v="62"/>
    <x v="5"/>
    <s v="Offline"/>
    <s v="C"/>
    <x v="77"/>
    <x v="5"/>
    <n v="789176547"/>
    <d v="2011-10-23T00:00:00"/>
    <n v="3732"/>
    <n v="154.06"/>
    <n v="90.93"/>
    <x v="77"/>
    <n v="339350.76"/>
    <n v="235601.16"/>
  </r>
  <r>
    <x v="2"/>
    <x v="63"/>
    <x v="0"/>
    <s v="Offline"/>
    <s v="H"/>
    <x v="78"/>
    <x v="1"/>
    <n v="688288152"/>
    <d v="2012-06-02T00:00:00"/>
    <n v="8614"/>
    <n v="255.28"/>
    <n v="159.41999999999999"/>
    <x v="78"/>
    <n v="1373243.88"/>
    <n v="825738.04"/>
  </r>
  <r>
    <x v="0"/>
    <x v="64"/>
    <x v="8"/>
    <s v="Online"/>
    <s v="H"/>
    <x v="79"/>
    <x v="3"/>
    <n v="670854651"/>
    <d v="2013-08-07T00:00:00"/>
    <n v="9654"/>
    <n v="437.2"/>
    <n v="263.33"/>
    <x v="79"/>
    <n v="2542187.8199999998"/>
    <n v="1678540.98"/>
  </r>
  <r>
    <x v="2"/>
    <x v="65"/>
    <x v="4"/>
    <s v="Offline"/>
    <s v="L"/>
    <x v="80"/>
    <x v="1"/>
    <n v="213487374"/>
    <d v="2012-11-30T00:00:00"/>
    <n v="4513"/>
    <n v="668.27"/>
    <n v="502.54"/>
    <x v="80"/>
    <n v="2267963.02"/>
    <n v="747939.49"/>
  </r>
  <r>
    <x v="5"/>
    <x v="66"/>
    <x v="7"/>
    <s v="Online"/>
    <s v="L"/>
    <x v="81"/>
    <x v="1"/>
    <n v="663110148"/>
    <d v="2012-10-08T00:00:00"/>
    <n v="7884"/>
    <n v="109.28"/>
    <n v="35.840000000000003"/>
    <x v="81"/>
    <n v="282562.56"/>
    <n v="579000.96"/>
  </r>
  <r>
    <x v="5"/>
    <x v="67"/>
    <x v="8"/>
    <s v="Online"/>
    <s v="H"/>
    <x v="82"/>
    <x v="7"/>
    <n v="286959302"/>
    <d v="2016-12-08T00:00:00"/>
    <n v="6489"/>
    <n v="437.2"/>
    <n v="263.33"/>
    <x v="82"/>
    <n v="1708748.37"/>
    <n v="1128242.43"/>
  </r>
  <r>
    <x v="3"/>
    <x v="68"/>
    <x v="11"/>
    <s v="Online"/>
    <s v="L"/>
    <x v="83"/>
    <x v="5"/>
    <n v="122583663"/>
    <d v="2011-01-05T00:00:00"/>
    <n v="4085"/>
    <n v="152.58000000000001"/>
    <n v="97.44"/>
    <x v="83"/>
    <n v="398042.4"/>
    <n v="225246.9"/>
  </r>
  <r>
    <x v="3"/>
    <x v="69"/>
    <x v="5"/>
    <s v="Online"/>
    <s v="L"/>
    <x v="84"/>
    <x v="1"/>
    <n v="827844560"/>
    <d v="2012-04-07T00:00:00"/>
    <n v="6457"/>
    <n v="154.06"/>
    <n v="90.93"/>
    <x v="84"/>
    <n v="587135.01"/>
    <n v="407630.41"/>
  </r>
  <r>
    <x v="6"/>
    <x v="60"/>
    <x v="6"/>
    <s v="Offline"/>
    <s v="L"/>
    <x v="85"/>
    <x v="1"/>
    <n v="430915820"/>
    <d v="2012-03-20T00:00:00"/>
    <n v="6422"/>
    <n v="81.73"/>
    <n v="56.67"/>
    <x v="85"/>
    <n v="363934.74"/>
    <n v="160935.32"/>
  </r>
  <r>
    <x v="3"/>
    <x v="3"/>
    <x v="9"/>
    <s v="Offline"/>
    <s v="C"/>
    <x v="86"/>
    <x v="5"/>
    <n v="180283772"/>
    <d v="2011-01-21T00:00:00"/>
    <n v="8829"/>
    <n v="47.45"/>
    <n v="31.79"/>
    <x v="86"/>
    <n v="280673.90999999997"/>
    <n v="138262.14000000001"/>
  </r>
  <r>
    <x v="3"/>
    <x v="27"/>
    <x v="0"/>
    <s v="Offline"/>
    <s v="M"/>
    <x v="87"/>
    <x v="2"/>
    <n v="494747245"/>
    <d v="2014-03-20T00:00:00"/>
    <n v="5559"/>
    <n v="255.28"/>
    <n v="159.41999999999999"/>
    <x v="87"/>
    <n v="886215.78"/>
    <n v="532885.74"/>
  </r>
  <r>
    <x v="5"/>
    <x v="70"/>
    <x v="3"/>
    <s v="Online"/>
    <s v="M"/>
    <x v="88"/>
    <x v="1"/>
    <n v="513417565"/>
    <d v="2012-05-18T00:00:00"/>
    <n v="522"/>
    <n v="9.33"/>
    <n v="6.92"/>
    <x v="88"/>
    <n v="3612.24"/>
    <n v="1258.02"/>
  </r>
  <r>
    <x v="2"/>
    <x v="71"/>
    <x v="9"/>
    <s v="Offline"/>
    <s v="C"/>
    <x v="89"/>
    <x v="7"/>
    <n v="345718562"/>
    <d v="2016-11-25T00:00:00"/>
    <n v="4660"/>
    <n v="47.45"/>
    <n v="31.79"/>
    <x v="89"/>
    <n v="148141.4"/>
    <n v="72975.600000000006"/>
  </r>
  <r>
    <x v="3"/>
    <x v="46"/>
    <x v="2"/>
    <s v="Offline"/>
    <s v="H"/>
    <x v="90"/>
    <x v="7"/>
    <n v="621386563"/>
    <d v="2016-12-14T00:00:00"/>
    <n v="948"/>
    <n v="651.21"/>
    <n v="524.96"/>
    <x v="90"/>
    <n v="497662.08"/>
    <n v="119685"/>
  </r>
  <r>
    <x v="0"/>
    <x v="30"/>
    <x v="9"/>
    <s v="Offline"/>
    <s v="H"/>
    <x v="91"/>
    <x v="2"/>
    <n v="240470397"/>
    <d v="2014-07-11T00:00:00"/>
    <n v="9389"/>
    <n v="47.45"/>
    <n v="31.79"/>
    <x v="91"/>
    <n v="298476.31"/>
    <n v="147031.74"/>
  </r>
  <r>
    <x v="5"/>
    <x v="37"/>
    <x v="2"/>
    <s v="Online"/>
    <s v="M"/>
    <x v="92"/>
    <x v="1"/>
    <n v="423331391"/>
    <d v="2012-07-24T00:00:00"/>
    <n v="2021"/>
    <n v="651.21"/>
    <n v="524.96"/>
    <x v="92"/>
    <n v="1060944.1599999999"/>
    <n v="255151.25"/>
  </r>
  <r>
    <x v="2"/>
    <x v="72"/>
    <x v="8"/>
    <s v="Online"/>
    <s v="H"/>
    <x v="93"/>
    <x v="0"/>
    <n v="660643374"/>
    <d v="2010-12-25T00:00:00"/>
    <n v="7910"/>
    <n v="437.2"/>
    <n v="263.33"/>
    <x v="93"/>
    <n v="2082940.3"/>
    <n v="1375311.7"/>
  </r>
  <r>
    <x v="1"/>
    <x v="73"/>
    <x v="9"/>
    <s v="Offline"/>
    <s v="C"/>
    <x v="94"/>
    <x v="5"/>
    <n v="963392674"/>
    <d v="2011-03-21T00:00:00"/>
    <n v="8156"/>
    <n v="47.45"/>
    <n v="31.79"/>
    <x v="94"/>
    <n v="259279.24"/>
    <n v="127722.96"/>
  </r>
  <r>
    <x v="3"/>
    <x v="26"/>
    <x v="7"/>
    <s v="Online"/>
    <s v="M"/>
    <x v="95"/>
    <x v="5"/>
    <n v="512878119"/>
    <d v="2011-09-03T00:00:00"/>
    <n v="888"/>
    <n v="109.28"/>
    <n v="35.840000000000003"/>
    <x v="95"/>
    <n v="31825.919999999998"/>
    <n v="65214.720000000001"/>
  </r>
  <r>
    <x v="4"/>
    <x v="74"/>
    <x v="3"/>
    <s v="Offline"/>
    <s v="L"/>
    <x v="96"/>
    <x v="5"/>
    <n v="810711038"/>
    <d v="2011-12-28T00:00:00"/>
    <n v="6267"/>
    <n v="9.33"/>
    <n v="6.92"/>
    <x v="96"/>
    <n v="43367.64"/>
    <n v="15103.47"/>
  </r>
  <r>
    <x v="3"/>
    <x v="46"/>
    <x v="5"/>
    <s v="Offline"/>
    <s v="C"/>
    <x v="97"/>
    <x v="7"/>
    <n v="728815257"/>
    <d v="2016-06-29T00:00:00"/>
    <n v="1485"/>
    <n v="154.06"/>
    <n v="90.93"/>
    <x v="97"/>
    <n v="135031.04999999999"/>
    <n v="93748.05"/>
  </r>
  <r>
    <x v="6"/>
    <x v="60"/>
    <x v="6"/>
    <s v="Offline"/>
    <s v="M"/>
    <x v="98"/>
    <x v="4"/>
    <n v="559427106"/>
    <d v="2015-08-08T00:00:00"/>
    <n v="5767"/>
    <n v="81.73"/>
    <n v="56.67"/>
    <x v="98"/>
    <n v="326815.89"/>
    <n v="144521.01999999999"/>
  </r>
  <r>
    <x v="3"/>
    <x v="75"/>
    <x v="4"/>
    <s v="Offline"/>
    <s v="L"/>
    <x v="99"/>
    <x v="1"/>
    <n v="665095412"/>
    <d v="2012-02-15T00:00:00"/>
    <n v="5367"/>
    <n v="668.27"/>
    <n v="502.54"/>
    <x v="99"/>
    <n v="2697132.18"/>
    <n v="889472.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H"/>
    <x v="0"/>
    <x v="0"/>
    <n v="669165933"/>
    <d v="2010-06-27T00:00:00"/>
    <n v="9925"/>
    <n v="255.28"/>
    <n v="159.41999999999999"/>
    <x v="0"/>
    <n v="1582243.5"/>
    <n v="951410.5"/>
    <n v="0.37550924475086178"/>
  </r>
  <r>
    <x v="1"/>
    <x v="1"/>
    <x v="1"/>
    <x v="1"/>
    <s v="C"/>
    <x v="1"/>
    <x v="1"/>
    <n v="963881480"/>
    <d v="2012-09-15T00:00:00"/>
    <n v="2804"/>
    <n v="205.7"/>
    <n v="117.11"/>
    <x v="1"/>
    <n v="328376.44"/>
    <n v="248406.36"/>
    <n v="0.43067574137092846"/>
  </r>
  <r>
    <x v="2"/>
    <x v="2"/>
    <x v="2"/>
    <x v="0"/>
    <s v="L"/>
    <x v="2"/>
    <x v="2"/>
    <n v="341417157"/>
    <d v="2014-05-08T00:00:00"/>
    <n v="1779"/>
    <n v="651.21"/>
    <n v="524.96"/>
    <x v="2"/>
    <n v="933903.84"/>
    <n v="224598.75"/>
    <n v="0.19386987300563566"/>
  </r>
  <r>
    <x v="3"/>
    <x v="3"/>
    <x v="3"/>
    <x v="1"/>
    <s v="C"/>
    <x v="3"/>
    <x v="2"/>
    <n v="514321792"/>
    <d v="2014-07-05T00:00:00"/>
    <n v="8102"/>
    <n v="9.33"/>
    <n v="6.92"/>
    <x v="3"/>
    <n v="56065.84"/>
    <n v="19525.82"/>
    <n v="0.25830653804930331"/>
  </r>
  <r>
    <x v="3"/>
    <x v="4"/>
    <x v="2"/>
    <x v="0"/>
    <s v="L"/>
    <x v="4"/>
    <x v="3"/>
    <n v="115456712"/>
    <d v="2013-02-06T00:00:00"/>
    <n v="5062"/>
    <n v="651.21"/>
    <n v="524.96"/>
    <x v="4"/>
    <n v="2657347.52"/>
    <n v="639077.5"/>
    <n v="0.19386987300563566"/>
  </r>
  <r>
    <x v="0"/>
    <x v="5"/>
    <x v="0"/>
    <x v="1"/>
    <s v="C"/>
    <x v="5"/>
    <x v="4"/>
    <n v="547995746"/>
    <d v="2015-02-21T00:00:00"/>
    <n v="2974"/>
    <n v="255.28"/>
    <n v="159.41999999999999"/>
    <x v="5"/>
    <n v="474115.08"/>
    <n v="285087.64"/>
    <n v="0.37550924475086184"/>
  </r>
  <r>
    <x v="3"/>
    <x v="6"/>
    <x v="4"/>
    <x v="0"/>
    <s v="M"/>
    <x v="6"/>
    <x v="5"/>
    <n v="135425221"/>
    <d v="2011-04-27T00:00:00"/>
    <n v="4187"/>
    <n v="668.27"/>
    <n v="502.54"/>
    <x v="6"/>
    <n v="2104134.98"/>
    <n v="693911.51"/>
    <n v="0.24799856345489096"/>
  </r>
  <r>
    <x v="3"/>
    <x v="7"/>
    <x v="5"/>
    <x v="1"/>
    <s v="H"/>
    <x v="7"/>
    <x v="1"/>
    <n v="871543967"/>
    <d v="2012-07-27T00:00:00"/>
    <n v="8082"/>
    <n v="154.06"/>
    <n v="90.93"/>
    <x v="7"/>
    <n v="734896.26"/>
    <n v="510216.66"/>
    <n v="0.40977541217707386"/>
  </r>
  <r>
    <x v="3"/>
    <x v="8"/>
    <x v="6"/>
    <x v="0"/>
    <s v="M"/>
    <x v="8"/>
    <x v="4"/>
    <n v="770463311"/>
    <d v="2015-08-25T00:00:00"/>
    <n v="6070"/>
    <n v="81.73"/>
    <n v="56.67"/>
    <x v="8"/>
    <n v="343986.9"/>
    <n v="152114.20000000001"/>
    <n v="0.30661935641747218"/>
  </r>
  <r>
    <x v="3"/>
    <x v="9"/>
    <x v="1"/>
    <x v="1"/>
    <s v="H"/>
    <x v="9"/>
    <x v="2"/>
    <n v="616607081"/>
    <d v="2014-05-30T00:00:00"/>
    <n v="6593"/>
    <n v="205.7"/>
    <n v="117.11"/>
    <x v="9"/>
    <n v="772106.23"/>
    <n v="584073.87"/>
    <n v="0.43067574137092851"/>
  </r>
  <r>
    <x v="4"/>
    <x v="10"/>
    <x v="5"/>
    <x v="1"/>
    <s v="H"/>
    <x v="10"/>
    <x v="5"/>
    <n v="814711606"/>
    <d v="2011-07-12T00:00:00"/>
    <n v="124"/>
    <n v="154.06"/>
    <n v="90.93"/>
    <x v="10"/>
    <n v="11275.32"/>
    <n v="7828.12"/>
    <n v="0.40977541217707392"/>
  </r>
  <r>
    <x v="3"/>
    <x v="11"/>
    <x v="7"/>
    <x v="0"/>
    <s v="H"/>
    <x v="11"/>
    <x v="2"/>
    <n v="939825713"/>
    <d v="2014-08-19T00:00:00"/>
    <n v="4168"/>
    <n v="109.28"/>
    <n v="35.840000000000003"/>
    <x v="11"/>
    <n v="149381.12"/>
    <n v="306097.91999999998"/>
    <n v="0.67203513909224011"/>
  </r>
  <r>
    <x v="4"/>
    <x v="12"/>
    <x v="7"/>
    <x v="1"/>
    <s v="L"/>
    <x v="12"/>
    <x v="6"/>
    <n v="187310731"/>
    <d v="2017-03-01T00:00:00"/>
    <n v="8263"/>
    <n v="109.28"/>
    <n v="35.840000000000003"/>
    <x v="12"/>
    <n v="296145.91999999998"/>
    <n v="606834.72"/>
    <n v="0.67203513909224011"/>
  </r>
  <r>
    <x v="1"/>
    <x v="13"/>
    <x v="4"/>
    <x v="0"/>
    <s v="H"/>
    <x v="13"/>
    <x v="6"/>
    <n v="522840487"/>
    <d v="2017-02-13T00:00:00"/>
    <n v="8974"/>
    <n v="668.27"/>
    <n v="502.54"/>
    <x v="13"/>
    <n v="4509793.96"/>
    <n v="1487261.02"/>
    <n v="0.24799856345489096"/>
  </r>
  <r>
    <x v="4"/>
    <x v="14"/>
    <x v="6"/>
    <x v="0"/>
    <s v="C"/>
    <x v="14"/>
    <x v="2"/>
    <n v="832401311"/>
    <d v="2014-02-23T00:00:00"/>
    <n v="4901"/>
    <n v="81.73"/>
    <n v="56.67"/>
    <x v="14"/>
    <n v="277739.67"/>
    <n v="122819.06"/>
    <n v="0.30661935641747218"/>
  </r>
  <r>
    <x v="2"/>
    <x v="15"/>
    <x v="7"/>
    <x v="1"/>
    <s v="M"/>
    <x v="15"/>
    <x v="1"/>
    <n v="972292029"/>
    <d v="2012-06-03T00:00:00"/>
    <n v="1673"/>
    <n v="109.28"/>
    <n v="35.840000000000003"/>
    <x v="15"/>
    <n v="59960.32"/>
    <n v="122865.12"/>
    <n v="0.67203513909224011"/>
  </r>
  <r>
    <x v="4"/>
    <x v="16"/>
    <x v="8"/>
    <x v="0"/>
    <s v="M"/>
    <x v="16"/>
    <x v="7"/>
    <n v="419123971"/>
    <d v="2016-12-18T00:00:00"/>
    <n v="6952"/>
    <n v="437.2"/>
    <n v="263.33"/>
    <x v="16"/>
    <n v="1830670.16"/>
    <n v="1208744.24"/>
    <n v="0.39768984446477584"/>
  </r>
  <r>
    <x v="3"/>
    <x v="17"/>
    <x v="9"/>
    <x v="0"/>
    <s v="C"/>
    <x v="17"/>
    <x v="4"/>
    <n v="519820964"/>
    <d v="2015-04-18T00:00:00"/>
    <n v="5430"/>
    <n v="47.45"/>
    <n v="31.79"/>
    <x v="17"/>
    <n v="172619.7"/>
    <n v="85033.8"/>
    <n v="0.33003161222339306"/>
  </r>
  <r>
    <x v="4"/>
    <x v="18"/>
    <x v="4"/>
    <x v="0"/>
    <s v="L"/>
    <x v="18"/>
    <x v="0"/>
    <n v="441619336"/>
    <d v="2011-01-20T00:00:00"/>
    <n v="3830"/>
    <n v="668.27"/>
    <n v="502.54"/>
    <x v="18"/>
    <n v="1924728.2"/>
    <n v="634745.9"/>
    <n v="0.24799856345489099"/>
  </r>
  <r>
    <x v="0"/>
    <x v="19"/>
    <x v="10"/>
    <x v="1"/>
    <s v="L"/>
    <x v="19"/>
    <x v="1"/>
    <n v="322067916"/>
    <d v="2012-09-11T00:00:00"/>
    <n v="5908"/>
    <n v="421.89"/>
    <n v="364.69"/>
    <x v="19"/>
    <n v="2154588.52"/>
    <n v="337937.6"/>
    <n v="0.13558036455000116"/>
  </r>
  <r>
    <x v="2"/>
    <x v="20"/>
    <x v="0"/>
    <x v="1"/>
    <s v="L"/>
    <x v="20"/>
    <x v="2"/>
    <n v="819028031"/>
    <d v="2014-06-28T00:00:00"/>
    <n v="7450"/>
    <n v="255.28"/>
    <n v="159.41999999999999"/>
    <x v="20"/>
    <n v="1187679"/>
    <n v="714157"/>
    <n v="0.37550924475086178"/>
  </r>
  <r>
    <x v="2"/>
    <x v="21"/>
    <x v="0"/>
    <x v="1"/>
    <s v="H"/>
    <x v="21"/>
    <x v="4"/>
    <n v="860673511"/>
    <d v="2015-09-03T00:00:00"/>
    <n v="1273"/>
    <n v="255.28"/>
    <n v="159.41999999999999"/>
    <x v="21"/>
    <n v="202941.66"/>
    <n v="122029.78"/>
    <n v="0.37550924475086178"/>
  </r>
  <r>
    <x v="1"/>
    <x v="13"/>
    <x v="11"/>
    <x v="1"/>
    <s v="L"/>
    <x v="22"/>
    <x v="7"/>
    <n v="795490682"/>
    <d v="2016-07-26T00:00:00"/>
    <n v="2225"/>
    <n v="152.58000000000001"/>
    <n v="97.44"/>
    <x v="22"/>
    <n v="216804"/>
    <n v="122686.5"/>
    <n v="0.36138419189933152"/>
  </r>
  <r>
    <x v="0"/>
    <x v="22"/>
    <x v="3"/>
    <x v="1"/>
    <s v="H"/>
    <x v="23"/>
    <x v="2"/>
    <n v="142278373"/>
    <d v="2014-10-04T00:00:00"/>
    <n v="2187"/>
    <n v="9.33"/>
    <n v="6.92"/>
    <x v="23"/>
    <n v="15134.04"/>
    <n v="5270.67"/>
    <n v="0.25830653804930331"/>
  </r>
  <r>
    <x v="2"/>
    <x v="23"/>
    <x v="6"/>
    <x v="1"/>
    <s v="L"/>
    <x v="24"/>
    <x v="7"/>
    <n v="740147912"/>
    <d v="2016-05-10T00:00:00"/>
    <n v="5070"/>
    <n v="81.73"/>
    <n v="56.67"/>
    <x v="24"/>
    <n v="287316.90000000002"/>
    <n v="127054.2"/>
    <n v="0.30661935641747218"/>
  </r>
  <r>
    <x v="2"/>
    <x v="24"/>
    <x v="8"/>
    <x v="1"/>
    <s v="H"/>
    <x v="25"/>
    <x v="6"/>
    <n v="898523128"/>
    <d v="2017-06-05T00:00:00"/>
    <n v="1815"/>
    <n v="437.2"/>
    <n v="263.33"/>
    <x v="25"/>
    <n v="477943.95"/>
    <n v="315574.05"/>
    <n v="0.39768984446477584"/>
  </r>
  <r>
    <x v="0"/>
    <x v="25"/>
    <x v="3"/>
    <x v="1"/>
    <s v="M"/>
    <x v="26"/>
    <x v="2"/>
    <n v="347140347"/>
    <d v="2014-11-10T00:00:00"/>
    <n v="5398"/>
    <n v="9.33"/>
    <n v="6.92"/>
    <x v="26"/>
    <n v="37354.160000000003"/>
    <n v="13009.18"/>
    <n v="0.25830653804930337"/>
  </r>
  <r>
    <x v="3"/>
    <x v="26"/>
    <x v="3"/>
    <x v="1"/>
    <s v="L"/>
    <x v="27"/>
    <x v="0"/>
    <n v="686048400"/>
    <d v="2010-05-10T00:00:00"/>
    <n v="5822"/>
    <n v="9.33"/>
    <n v="6.92"/>
    <x v="27"/>
    <n v="40288.239999999998"/>
    <n v="14031.02"/>
    <n v="0.25830653804930331"/>
  </r>
  <r>
    <x v="2"/>
    <x v="20"/>
    <x v="9"/>
    <x v="0"/>
    <s v="C"/>
    <x v="28"/>
    <x v="2"/>
    <n v="435608613"/>
    <d v="2014-07-30T00:00:00"/>
    <n v="5124"/>
    <n v="47.45"/>
    <n v="31.79"/>
    <x v="28"/>
    <n v="162891.96"/>
    <n v="80241.84"/>
    <n v="0.33003161222339306"/>
  </r>
  <r>
    <x v="3"/>
    <x v="27"/>
    <x v="4"/>
    <x v="0"/>
    <s v="L"/>
    <x v="29"/>
    <x v="1"/>
    <n v="886494815"/>
    <d v="2012-06-09T00:00:00"/>
    <n v="2370"/>
    <n v="668.27"/>
    <n v="502.54"/>
    <x v="29"/>
    <n v="1191019.8"/>
    <n v="392780.1"/>
    <n v="0.24799856345489099"/>
  </r>
  <r>
    <x v="2"/>
    <x v="28"/>
    <x v="8"/>
    <x v="0"/>
    <s v="M"/>
    <x v="30"/>
    <x v="1"/>
    <n v="249693334"/>
    <d v="2012-10-20T00:00:00"/>
    <n v="8661"/>
    <n v="437.2"/>
    <n v="263.33"/>
    <x v="30"/>
    <n v="2280701.13"/>
    <n v="1505888.07"/>
    <n v="0.39768984446477584"/>
  </r>
  <r>
    <x v="3"/>
    <x v="29"/>
    <x v="6"/>
    <x v="0"/>
    <s v="C"/>
    <x v="31"/>
    <x v="3"/>
    <n v="406502997"/>
    <d v="2014-01-28T00:00:00"/>
    <n v="2125"/>
    <n v="81.73"/>
    <n v="56.67"/>
    <x v="31"/>
    <n v="120423.75"/>
    <n v="53252.5"/>
    <n v="0.30661935641747218"/>
  </r>
  <r>
    <x v="0"/>
    <x v="30"/>
    <x v="2"/>
    <x v="1"/>
    <s v="C"/>
    <x v="32"/>
    <x v="4"/>
    <n v="158535134"/>
    <d v="2015-11-25T00:00:00"/>
    <n v="2924"/>
    <n v="651.21"/>
    <n v="524.96"/>
    <x v="32"/>
    <n v="1534983.04"/>
    <n v="369155"/>
    <n v="0.19386987300563566"/>
  </r>
  <r>
    <x v="4"/>
    <x v="31"/>
    <x v="4"/>
    <x v="0"/>
    <s v="H"/>
    <x v="33"/>
    <x v="4"/>
    <n v="177713572"/>
    <d v="2015-03-01T00:00:00"/>
    <n v="8250"/>
    <n v="668.27"/>
    <n v="502.54"/>
    <x v="33"/>
    <n v="4145955"/>
    <n v="1367272.5"/>
    <n v="0.24799856345489099"/>
  </r>
  <r>
    <x v="3"/>
    <x v="32"/>
    <x v="11"/>
    <x v="1"/>
    <s v="M"/>
    <x v="34"/>
    <x v="6"/>
    <n v="756274640"/>
    <d v="2017-02-25T00:00:00"/>
    <n v="7327"/>
    <n v="152.58000000000001"/>
    <n v="97.44"/>
    <x v="34"/>
    <n v="713942.88"/>
    <n v="404010.78"/>
    <n v="0.36138419189933157"/>
  </r>
  <r>
    <x v="1"/>
    <x v="33"/>
    <x v="6"/>
    <x v="0"/>
    <s v="L"/>
    <x v="35"/>
    <x v="6"/>
    <n v="456767165"/>
    <d v="2017-05-21T00:00:00"/>
    <n v="6409"/>
    <n v="81.73"/>
    <n v="56.67"/>
    <x v="35"/>
    <n v="363198.03"/>
    <n v="160609.54"/>
    <n v="0.30661935641747218"/>
  </r>
  <r>
    <x v="5"/>
    <x v="34"/>
    <x v="3"/>
    <x v="1"/>
    <s v="L"/>
    <x v="36"/>
    <x v="5"/>
    <n v="162052476"/>
    <d v="2011-12-03T00:00:00"/>
    <n v="3784"/>
    <n v="9.33"/>
    <n v="6.92"/>
    <x v="36"/>
    <n v="26185.279999999999"/>
    <n v="9119.44"/>
    <n v="0.25830653804930331"/>
  </r>
  <r>
    <x v="3"/>
    <x v="27"/>
    <x v="10"/>
    <x v="1"/>
    <s v="M"/>
    <x v="37"/>
    <x v="6"/>
    <n v="825304400"/>
    <d v="2017-01-23T00:00:00"/>
    <n v="4767"/>
    <n v="421.89"/>
    <n v="364.69"/>
    <x v="37"/>
    <n v="1738477.23"/>
    <n v="272672.40000000002"/>
    <n v="0.13558036455000119"/>
  </r>
  <r>
    <x v="4"/>
    <x v="35"/>
    <x v="2"/>
    <x v="1"/>
    <s v="L"/>
    <x v="38"/>
    <x v="1"/>
    <n v="320009267"/>
    <d v="2012-05-08T00:00:00"/>
    <n v="6708"/>
    <n v="651.21"/>
    <n v="524.96"/>
    <x v="38"/>
    <n v="3521431.68"/>
    <n v="846885"/>
    <n v="0.19386987300563568"/>
  </r>
  <r>
    <x v="2"/>
    <x v="15"/>
    <x v="2"/>
    <x v="1"/>
    <s v="M"/>
    <x v="39"/>
    <x v="1"/>
    <n v="189965903"/>
    <d v="2012-02-28T00:00:00"/>
    <n v="3987"/>
    <n v="651.21"/>
    <n v="524.96"/>
    <x v="39"/>
    <n v="2093015.52"/>
    <n v="503358.75"/>
    <n v="0.19386987300563566"/>
  </r>
  <r>
    <x v="3"/>
    <x v="36"/>
    <x v="6"/>
    <x v="1"/>
    <s v="H"/>
    <x v="40"/>
    <x v="6"/>
    <n v="699285638"/>
    <d v="2017-03-28T00:00:00"/>
    <n v="3015"/>
    <n v="81.73"/>
    <n v="56.67"/>
    <x v="40"/>
    <n v="170860.05"/>
    <n v="75555.899999999994"/>
    <n v="0.30661935641747212"/>
  </r>
  <r>
    <x v="5"/>
    <x v="37"/>
    <x v="8"/>
    <x v="1"/>
    <s v="M"/>
    <x v="41"/>
    <x v="0"/>
    <n v="382392299"/>
    <d v="2010-02-25T00:00:00"/>
    <n v="7234"/>
    <n v="437.2"/>
    <n v="263.33"/>
    <x v="41"/>
    <n v="1904929.22"/>
    <n v="1257775.58"/>
    <n v="0.3976898444647759"/>
  </r>
  <r>
    <x v="3"/>
    <x v="27"/>
    <x v="1"/>
    <x v="0"/>
    <s v="H"/>
    <x v="42"/>
    <x v="1"/>
    <n v="994022214"/>
    <d v="2012-06-08T00:00:00"/>
    <n v="2117"/>
    <n v="205.7"/>
    <n v="117.11"/>
    <x v="42"/>
    <n v="247921.87"/>
    <n v="187545.03"/>
    <n v="0.43067574137092851"/>
  </r>
  <r>
    <x v="2"/>
    <x v="38"/>
    <x v="5"/>
    <x v="1"/>
    <s v="H"/>
    <x v="43"/>
    <x v="1"/>
    <n v="759224212"/>
    <d v="2012-11-10T00:00:00"/>
    <n v="171"/>
    <n v="154.06"/>
    <n v="90.93"/>
    <x v="43"/>
    <n v="15549.03"/>
    <n v="10795.23"/>
    <n v="0.40977541217707386"/>
  </r>
  <r>
    <x v="4"/>
    <x v="31"/>
    <x v="7"/>
    <x v="1"/>
    <s v="H"/>
    <x v="44"/>
    <x v="4"/>
    <n v="223359620"/>
    <d v="2015-11-18T00:00:00"/>
    <n v="5930"/>
    <n v="109.28"/>
    <n v="35.840000000000003"/>
    <x v="44"/>
    <n v="212531.20000000001"/>
    <n v="435499.2"/>
    <n v="0.67203513909224011"/>
  </r>
  <r>
    <x v="3"/>
    <x v="39"/>
    <x v="1"/>
    <x v="0"/>
    <s v="H"/>
    <x v="45"/>
    <x v="7"/>
    <n v="902102267"/>
    <d v="2016-04-29T00:00:00"/>
    <n v="962"/>
    <n v="205.7"/>
    <n v="117.11"/>
    <x v="45"/>
    <n v="112659.82"/>
    <n v="85223.58"/>
    <n v="0.43067574137092857"/>
  </r>
  <r>
    <x v="2"/>
    <x v="40"/>
    <x v="8"/>
    <x v="1"/>
    <s v="C"/>
    <x v="46"/>
    <x v="7"/>
    <n v="331438481"/>
    <d v="2016-12-31T00:00:00"/>
    <n v="8867"/>
    <n v="437.2"/>
    <n v="263.33"/>
    <x v="46"/>
    <n v="2334947.11"/>
    <n v="1541705.29"/>
    <n v="0.39768984446477584"/>
  </r>
  <r>
    <x v="2"/>
    <x v="28"/>
    <x v="6"/>
    <x v="1"/>
    <s v="M"/>
    <x v="47"/>
    <x v="0"/>
    <n v="617667090"/>
    <d v="2011-01-31T00:00:00"/>
    <n v="273"/>
    <n v="81.73"/>
    <n v="56.67"/>
    <x v="47"/>
    <n v="15470.91"/>
    <n v="6841.38"/>
    <n v="0.30661935641747218"/>
  </r>
  <r>
    <x v="2"/>
    <x v="41"/>
    <x v="7"/>
    <x v="0"/>
    <s v="C"/>
    <x v="48"/>
    <x v="2"/>
    <n v="787399423"/>
    <d v="2014-11-14T00:00:00"/>
    <n v="7842"/>
    <n v="109.28"/>
    <n v="35.840000000000003"/>
    <x v="48"/>
    <n v="281057.28000000003"/>
    <n v="575916.48"/>
    <n v="0.67203513909224011"/>
  </r>
  <r>
    <x v="3"/>
    <x v="42"/>
    <x v="2"/>
    <x v="0"/>
    <s v="C"/>
    <x v="49"/>
    <x v="1"/>
    <n v="837559306"/>
    <d v="2012-01-13T00:00:00"/>
    <n v="1266"/>
    <n v="651.21"/>
    <n v="524.96"/>
    <x v="49"/>
    <n v="664599.36"/>
    <n v="159832.5"/>
    <n v="0.19386987300563566"/>
  </r>
  <r>
    <x v="2"/>
    <x v="43"/>
    <x v="7"/>
    <x v="1"/>
    <s v="C"/>
    <x v="50"/>
    <x v="0"/>
    <n v="385383069"/>
    <d v="2010-03-18T00:00:00"/>
    <n v="2269"/>
    <n v="109.28"/>
    <n v="35.840000000000003"/>
    <x v="50"/>
    <n v="81320.960000000006"/>
    <n v="166635.35999999999"/>
    <n v="0.67203513909224"/>
  </r>
  <r>
    <x v="3"/>
    <x v="44"/>
    <x v="3"/>
    <x v="1"/>
    <s v="L"/>
    <x v="51"/>
    <x v="3"/>
    <n v="918419539"/>
    <d v="2013-09-18T00:00:00"/>
    <n v="9606"/>
    <n v="9.33"/>
    <n v="6.92"/>
    <x v="51"/>
    <n v="66473.52"/>
    <n v="23150.46"/>
    <n v="0.25830653804930331"/>
  </r>
  <r>
    <x v="5"/>
    <x v="45"/>
    <x v="1"/>
    <x v="1"/>
    <s v="M"/>
    <x v="52"/>
    <x v="3"/>
    <n v="844530045"/>
    <d v="2013-03-28T00:00:00"/>
    <n v="4063"/>
    <n v="205.7"/>
    <n v="117.11"/>
    <x v="52"/>
    <n v="475817.93"/>
    <n v="359941.17"/>
    <n v="0.43067574137092851"/>
  </r>
  <r>
    <x v="3"/>
    <x v="46"/>
    <x v="2"/>
    <x v="0"/>
    <s v="M"/>
    <x v="53"/>
    <x v="5"/>
    <n v="441888415"/>
    <d v="2012-01-07T00:00:00"/>
    <n v="3457"/>
    <n v="651.21"/>
    <n v="524.96"/>
    <x v="53"/>
    <n v="1814786.72"/>
    <n v="436446.25"/>
    <n v="0.19386987300563566"/>
  </r>
  <r>
    <x v="3"/>
    <x v="3"/>
    <x v="3"/>
    <x v="0"/>
    <s v="H"/>
    <x v="54"/>
    <x v="3"/>
    <n v="508980977"/>
    <d v="2013-10-24T00:00:00"/>
    <n v="7637"/>
    <n v="9.33"/>
    <n v="6.92"/>
    <x v="54"/>
    <n v="52848.04"/>
    <n v="18405.169999999998"/>
    <n v="0.25830653804930326"/>
  </r>
  <r>
    <x v="3"/>
    <x v="47"/>
    <x v="7"/>
    <x v="1"/>
    <s v="C"/>
    <x v="55"/>
    <x v="1"/>
    <n v="114606559"/>
    <d v="2012-06-27T00:00:00"/>
    <n v="3482"/>
    <n v="109.28"/>
    <n v="35.840000000000003"/>
    <x v="55"/>
    <n v="124794.88"/>
    <n v="255718.08"/>
    <n v="0.67203513909224"/>
  </r>
  <r>
    <x v="0"/>
    <x v="48"/>
    <x v="7"/>
    <x v="0"/>
    <s v="C"/>
    <x v="56"/>
    <x v="0"/>
    <n v="647876489"/>
    <d v="2010-08-01T00:00:00"/>
    <n v="9905"/>
    <n v="109.28"/>
    <n v="35.840000000000003"/>
    <x v="56"/>
    <n v="354995.20000000001"/>
    <n v="727423.2"/>
    <n v="0.67203513909224011"/>
  </r>
  <r>
    <x v="2"/>
    <x v="49"/>
    <x v="8"/>
    <x v="0"/>
    <s v="H"/>
    <x v="57"/>
    <x v="4"/>
    <n v="868214595"/>
    <d v="2015-03-02T00:00:00"/>
    <n v="2847"/>
    <n v="437.2"/>
    <n v="263.33"/>
    <x v="57"/>
    <n v="749700.51"/>
    <n v="495007.89"/>
    <n v="0.3976898444647759"/>
  </r>
  <r>
    <x v="2"/>
    <x v="50"/>
    <x v="4"/>
    <x v="1"/>
    <s v="L"/>
    <x v="58"/>
    <x v="1"/>
    <n v="955357205"/>
    <d v="2012-02-14T00:00:00"/>
    <n v="282"/>
    <n v="668.27"/>
    <n v="502.54"/>
    <x v="58"/>
    <n v="141716.28"/>
    <n v="46735.86"/>
    <n v="0.24799856345489096"/>
  </r>
  <r>
    <x v="3"/>
    <x v="32"/>
    <x v="8"/>
    <x v="0"/>
    <s v="H"/>
    <x v="59"/>
    <x v="2"/>
    <n v="259353148"/>
    <d v="2014-04-19T00:00:00"/>
    <n v="7215"/>
    <n v="437.2"/>
    <n v="263.33"/>
    <x v="59"/>
    <n v="1899925.95"/>
    <n v="1254472.05"/>
    <n v="0.39768984446477584"/>
  </r>
  <r>
    <x v="0"/>
    <x v="30"/>
    <x v="1"/>
    <x v="0"/>
    <s v="H"/>
    <x v="60"/>
    <x v="3"/>
    <n v="450563752"/>
    <d v="2013-07-02T00:00:00"/>
    <n v="682"/>
    <n v="205.7"/>
    <n v="117.11"/>
    <x v="60"/>
    <n v="79869.02"/>
    <n v="60418.38"/>
    <n v="0.43067574137092851"/>
  </r>
  <r>
    <x v="2"/>
    <x v="51"/>
    <x v="0"/>
    <x v="1"/>
    <s v="L"/>
    <x v="61"/>
    <x v="3"/>
    <n v="569662845"/>
    <d v="2013-07-01T00:00:00"/>
    <n v="4750"/>
    <n v="255.28"/>
    <n v="159.41999999999999"/>
    <x v="61"/>
    <n v="757245"/>
    <n v="455335"/>
    <n v="0.37550924475086178"/>
  </r>
  <r>
    <x v="3"/>
    <x v="17"/>
    <x v="2"/>
    <x v="1"/>
    <s v="M"/>
    <x v="62"/>
    <x v="5"/>
    <n v="177636754"/>
    <d v="2011-11-15T00:00:00"/>
    <n v="5518"/>
    <n v="651.21"/>
    <n v="524.96"/>
    <x v="62"/>
    <n v="2896729.28"/>
    <n v="696647.5"/>
    <n v="0.19386987300563568"/>
  </r>
  <r>
    <x v="5"/>
    <x v="52"/>
    <x v="7"/>
    <x v="0"/>
    <s v="H"/>
    <x v="63"/>
    <x v="0"/>
    <n v="705784308"/>
    <d v="2010-11-17T00:00:00"/>
    <n v="6116"/>
    <n v="109.28"/>
    <n v="35.840000000000003"/>
    <x v="63"/>
    <n v="219197.44"/>
    <n v="449159.04"/>
    <n v="0.67203513909224011"/>
  </r>
  <r>
    <x v="1"/>
    <x v="53"/>
    <x v="8"/>
    <x v="0"/>
    <s v="H"/>
    <x v="64"/>
    <x v="3"/>
    <n v="505716836"/>
    <d v="2013-11-16T00:00:00"/>
    <n v="1705"/>
    <n v="437.2"/>
    <n v="263.33"/>
    <x v="64"/>
    <n v="448977.65"/>
    <n v="296448.34999999998"/>
    <n v="0.39768984446477579"/>
  </r>
  <r>
    <x v="3"/>
    <x v="4"/>
    <x v="8"/>
    <x v="0"/>
    <s v="H"/>
    <x v="65"/>
    <x v="3"/>
    <n v="699358165"/>
    <d v="2013-11-25T00:00:00"/>
    <n v="4477"/>
    <n v="437.2"/>
    <n v="263.33"/>
    <x v="65"/>
    <n v="1178928.4099999999"/>
    <n v="778415.99"/>
    <n v="0.39768984446477584"/>
  </r>
  <r>
    <x v="3"/>
    <x v="54"/>
    <x v="6"/>
    <x v="0"/>
    <s v="L"/>
    <x v="66"/>
    <x v="1"/>
    <n v="228944623"/>
    <d v="2012-07-09T00:00:00"/>
    <n v="8656"/>
    <n v="81.73"/>
    <n v="56.67"/>
    <x v="66"/>
    <n v="490535.52"/>
    <n v="216919.36"/>
    <n v="0.30661935641747212"/>
  </r>
  <r>
    <x v="1"/>
    <x v="55"/>
    <x v="7"/>
    <x v="0"/>
    <s v="M"/>
    <x v="67"/>
    <x v="7"/>
    <n v="807025039"/>
    <d v="2016-09-07T00:00:00"/>
    <n v="5498"/>
    <n v="109.28"/>
    <n v="35.840000000000003"/>
    <x v="67"/>
    <n v="197048.32000000001"/>
    <n v="403773.12"/>
    <n v="0.67203513909224022"/>
  </r>
  <r>
    <x v="2"/>
    <x v="56"/>
    <x v="2"/>
    <x v="0"/>
    <s v="H"/>
    <x v="68"/>
    <x v="0"/>
    <n v="166460740"/>
    <d v="2010-11-17T00:00:00"/>
    <n v="8287"/>
    <n v="651.21"/>
    <n v="524.96"/>
    <x v="68"/>
    <n v="4350343.5199999996"/>
    <n v="1046233.75"/>
    <n v="0.19386987300563568"/>
  </r>
  <r>
    <x v="3"/>
    <x v="57"/>
    <x v="7"/>
    <x v="0"/>
    <s v="L"/>
    <x v="69"/>
    <x v="4"/>
    <n v="610425555"/>
    <d v="2015-05-28T00:00:00"/>
    <n v="7342"/>
    <n v="109.28"/>
    <n v="35.840000000000003"/>
    <x v="69"/>
    <n v="263137.28000000003"/>
    <n v="539196.48"/>
    <n v="0.67203513909224011"/>
  </r>
  <r>
    <x v="4"/>
    <x v="18"/>
    <x v="2"/>
    <x v="1"/>
    <s v="M"/>
    <x v="70"/>
    <x v="3"/>
    <n v="462405812"/>
    <d v="2013-05-20T00:00:00"/>
    <n v="5010"/>
    <n v="651.21"/>
    <n v="524.96"/>
    <x v="70"/>
    <n v="2630049.6"/>
    <n v="632512.5"/>
    <n v="0.19386987300563566"/>
  </r>
  <r>
    <x v="5"/>
    <x v="52"/>
    <x v="3"/>
    <x v="1"/>
    <s v="L"/>
    <x v="71"/>
    <x v="4"/>
    <n v="816200339"/>
    <d v="2015-09-30T00:00:00"/>
    <n v="673"/>
    <n v="9.33"/>
    <n v="6.92"/>
    <x v="71"/>
    <n v="4657.16"/>
    <n v="1621.93"/>
    <n v="0.25830653804930331"/>
  </r>
  <r>
    <x v="3"/>
    <x v="58"/>
    <x v="9"/>
    <x v="1"/>
    <s v="C"/>
    <x v="72"/>
    <x v="5"/>
    <n v="585920464"/>
    <d v="2011-07-15T00:00:00"/>
    <n v="5741"/>
    <n v="47.45"/>
    <n v="31.79"/>
    <x v="72"/>
    <n v="182506.39"/>
    <n v="89904.06"/>
    <n v="0.330031612223393"/>
  </r>
  <r>
    <x v="3"/>
    <x v="32"/>
    <x v="1"/>
    <x v="1"/>
    <s v="H"/>
    <x v="73"/>
    <x v="6"/>
    <n v="555990016"/>
    <d v="2017-06-17T00:00:00"/>
    <n v="8656"/>
    <n v="205.7"/>
    <n v="117.11"/>
    <x v="73"/>
    <n v="1013704.16"/>
    <n v="766835.04"/>
    <n v="0.43067574137092857"/>
  </r>
  <r>
    <x v="5"/>
    <x v="59"/>
    <x v="8"/>
    <x v="0"/>
    <s v="L"/>
    <x v="74"/>
    <x v="3"/>
    <n v="231145322"/>
    <d v="2013-08-16T00:00:00"/>
    <n v="9892"/>
    <n v="437.2"/>
    <n v="263.33"/>
    <x v="74"/>
    <n v="2604860.36"/>
    <n v="1719922.04"/>
    <n v="0.39768984446477584"/>
  </r>
  <r>
    <x v="6"/>
    <x v="60"/>
    <x v="4"/>
    <x v="0"/>
    <s v="C"/>
    <x v="75"/>
    <x v="2"/>
    <n v="986435210"/>
    <d v="2014-12-12T00:00:00"/>
    <n v="6954"/>
    <n v="668.27"/>
    <n v="502.54"/>
    <x v="75"/>
    <n v="3494663.16"/>
    <n v="1152486.42"/>
    <n v="0.24799856345489096"/>
  </r>
  <r>
    <x v="0"/>
    <x v="61"/>
    <x v="9"/>
    <x v="1"/>
    <s v="C"/>
    <x v="76"/>
    <x v="2"/>
    <n v="217221009"/>
    <d v="2014-11-15T00:00:00"/>
    <n v="9379"/>
    <n v="47.45"/>
    <n v="31.79"/>
    <x v="76"/>
    <n v="298158.40999999997"/>
    <n v="146875.14000000001"/>
    <n v="0.33003161222339311"/>
  </r>
  <r>
    <x v="4"/>
    <x v="62"/>
    <x v="5"/>
    <x v="0"/>
    <s v="C"/>
    <x v="77"/>
    <x v="5"/>
    <n v="789176547"/>
    <d v="2011-10-23T00:00:00"/>
    <n v="3732"/>
    <n v="154.06"/>
    <n v="90.93"/>
    <x v="77"/>
    <n v="339350.76"/>
    <n v="235601.16"/>
    <n v="0.40977541217707386"/>
  </r>
  <r>
    <x v="2"/>
    <x v="63"/>
    <x v="0"/>
    <x v="0"/>
    <s v="H"/>
    <x v="78"/>
    <x v="1"/>
    <n v="688288152"/>
    <d v="2012-06-02T00:00:00"/>
    <n v="8614"/>
    <n v="255.28"/>
    <n v="159.41999999999999"/>
    <x v="78"/>
    <n v="1373243.88"/>
    <n v="825738.04"/>
    <n v="0.37550924475086184"/>
  </r>
  <r>
    <x v="0"/>
    <x v="64"/>
    <x v="8"/>
    <x v="1"/>
    <s v="H"/>
    <x v="79"/>
    <x v="3"/>
    <n v="670854651"/>
    <d v="2013-08-07T00:00:00"/>
    <n v="9654"/>
    <n v="437.2"/>
    <n v="263.33"/>
    <x v="79"/>
    <n v="2542187.8199999998"/>
    <n v="1678540.98"/>
    <n v="0.39768984446477584"/>
  </r>
  <r>
    <x v="2"/>
    <x v="65"/>
    <x v="4"/>
    <x v="0"/>
    <s v="L"/>
    <x v="80"/>
    <x v="1"/>
    <n v="213487374"/>
    <d v="2012-11-30T00:00:00"/>
    <n v="4513"/>
    <n v="668.27"/>
    <n v="502.54"/>
    <x v="80"/>
    <n v="2267963.02"/>
    <n v="747939.49"/>
    <n v="0.24799856345489099"/>
  </r>
  <r>
    <x v="5"/>
    <x v="66"/>
    <x v="7"/>
    <x v="1"/>
    <s v="L"/>
    <x v="81"/>
    <x v="1"/>
    <n v="663110148"/>
    <d v="2012-10-08T00:00:00"/>
    <n v="7884"/>
    <n v="109.28"/>
    <n v="35.840000000000003"/>
    <x v="81"/>
    <n v="282562.56"/>
    <n v="579000.96"/>
    <n v="0.67203513909224011"/>
  </r>
  <r>
    <x v="5"/>
    <x v="67"/>
    <x v="8"/>
    <x v="1"/>
    <s v="H"/>
    <x v="82"/>
    <x v="7"/>
    <n v="286959302"/>
    <d v="2016-12-08T00:00:00"/>
    <n v="6489"/>
    <n v="437.2"/>
    <n v="263.33"/>
    <x v="82"/>
    <n v="1708748.37"/>
    <n v="1128242.43"/>
    <n v="0.39768984446477584"/>
  </r>
  <r>
    <x v="3"/>
    <x v="68"/>
    <x v="11"/>
    <x v="1"/>
    <s v="L"/>
    <x v="83"/>
    <x v="5"/>
    <n v="122583663"/>
    <d v="2011-01-05T00:00:00"/>
    <n v="4085"/>
    <n v="152.58000000000001"/>
    <n v="97.44"/>
    <x v="83"/>
    <n v="398042.4"/>
    <n v="225246.9"/>
    <n v="0.36138419189933146"/>
  </r>
  <r>
    <x v="3"/>
    <x v="69"/>
    <x v="5"/>
    <x v="1"/>
    <s v="L"/>
    <x v="84"/>
    <x v="1"/>
    <n v="827844560"/>
    <d v="2012-04-07T00:00:00"/>
    <n v="6457"/>
    <n v="154.06"/>
    <n v="90.93"/>
    <x v="84"/>
    <n v="587135.01"/>
    <n v="407630.41"/>
    <n v="0.40977541217707381"/>
  </r>
  <r>
    <x v="6"/>
    <x v="60"/>
    <x v="6"/>
    <x v="0"/>
    <s v="L"/>
    <x v="85"/>
    <x v="1"/>
    <n v="430915820"/>
    <d v="2012-03-20T00:00:00"/>
    <n v="6422"/>
    <n v="81.73"/>
    <n v="56.67"/>
    <x v="85"/>
    <n v="363934.74"/>
    <n v="160935.32"/>
    <n v="0.30661935641747212"/>
  </r>
  <r>
    <x v="3"/>
    <x v="3"/>
    <x v="9"/>
    <x v="0"/>
    <s v="C"/>
    <x v="86"/>
    <x v="5"/>
    <n v="180283772"/>
    <d v="2011-01-21T00:00:00"/>
    <n v="8829"/>
    <n v="47.45"/>
    <n v="31.79"/>
    <x v="86"/>
    <n v="280673.90999999997"/>
    <n v="138262.14000000001"/>
    <n v="0.33003161222339311"/>
  </r>
  <r>
    <x v="3"/>
    <x v="27"/>
    <x v="0"/>
    <x v="0"/>
    <s v="M"/>
    <x v="87"/>
    <x v="2"/>
    <n v="494747245"/>
    <d v="2014-03-20T00:00:00"/>
    <n v="5559"/>
    <n v="255.28"/>
    <n v="159.41999999999999"/>
    <x v="87"/>
    <n v="886215.78"/>
    <n v="532885.74"/>
    <n v="0.37550924475086178"/>
  </r>
  <r>
    <x v="5"/>
    <x v="70"/>
    <x v="3"/>
    <x v="1"/>
    <s v="M"/>
    <x v="88"/>
    <x v="1"/>
    <n v="513417565"/>
    <d v="2012-05-18T00:00:00"/>
    <n v="522"/>
    <n v="9.33"/>
    <n v="6.92"/>
    <x v="88"/>
    <n v="3612.24"/>
    <n v="1258.02"/>
    <n v="0.25830653804930331"/>
  </r>
  <r>
    <x v="2"/>
    <x v="71"/>
    <x v="9"/>
    <x v="0"/>
    <s v="C"/>
    <x v="89"/>
    <x v="7"/>
    <n v="345718562"/>
    <d v="2016-11-25T00:00:00"/>
    <n v="4660"/>
    <n v="47.45"/>
    <n v="31.79"/>
    <x v="89"/>
    <n v="148141.4"/>
    <n v="72975.600000000006"/>
    <n v="0.33003161222339306"/>
  </r>
  <r>
    <x v="3"/>
    <x v="46"/>
    <x v="2"/>
    <x v="0"/>
    <s v="H"/>
    <x v="90"/>
    <x v="7"/>
    <n v="621386563"/>
    <d v="2016-12-14T00:00:00"/>
    <n v="948"/>
    <n v="651.21"/>
    <n v="524.96"/>
    <x v="90"/>
    <n v="497662.08"/>
    <n v="119685"/>
    <n v="0.19386987300563568"/>
  </r>
  <r>
    <x v="0"/>
    <x v="30"/>
    <x v="9"/>
    <x v="0"/>
    <s v="H"/>
    <x v="91"/>
    <x v="2"/>
    <n v="240470397"/>
    <d v="2014-07-11T00:00:00"/>
    <n v="9389"/>
    <n v="47.45"/>
    <n v="31.79"/>
    <x v="91"/>
    <n v="298476.31"/>
    <n v="147031.74"/>
    <n v="0.33003161222339306"/>
  </r>
  <r>
    <x v="5"/>
    <x v="37"/>
    <x v="2"/>
    <x v="1"/>
    <s v="M"/>
    <x v="92"/>
    <x v="1"/>
    <n v="423331391"/>
    <d v="2012-07-24T00:00:00"/>
    <n v="2021"/>
    <n v="651.21"/>
    <n v="524.96"/>
    <x v="92"/>
    <n v="1060944.1599999999"/>
    <n v="255151.25"/>
    <n v="0.19386987300563568"/>
  </r>
  <r>
    <x v="2"/>
    <x v="72"/>
    <x v="8"/>
    <x v="1"/>
    <s v="H"/>
    <x v="93"/>
    <x v="0"/>
    <n v="660643374"/>
    <d v="2010-12-25T00:00:00"/>
    <n v="7910"/>
    <n v="437.2"/>
    <n v="263.33"/>
    <x v="93"/>
    <n v="2082940.3"/>
    <n v="1375311.7"/>
    <n v="0.39768984446477584"/>
  </r>
  <r>
    <x v="1"/>
    <x v="73"/>
    <x v="9"/>
    <x v="0"/>
    <s v="C"/>
    <x v="94"/>
    <x v="5"/>
    <n v="963392674"/>
    <d v="2011-03-21T00:00:00"/>
    <n v="8156"/>
    <n v="47.45"/>
    <n v="31.79"/>
    <x v="94"/>
    <n v="259279.24"/>
    <n v="127722.96"/>
    <n v="0.33003161222339306"/>
  </r>
  <r>
    <x v="3"/>
    <x v="26"/>
    <x v="7"/>
    <x v="1"/>
    <s v="M"/>
    <x v="95"/>
    <x v="5"/>
    <n v="512878119"/>
    <d v="2011-09-03T00:00:00"/>
    <n v="888"/>
    <n v="109.28"/>
    <n v="35.840000000000003"/>
    <x v="95"/>
    <n v="31825.919999999998"/>
    <n v="65214.720000000001"/>
    <n v="0.67203513909224011"/>
  </r>
  <r>
    <x v="4"/>
    <x v="74"/>
    <x v="3"/>
    <x v="0"/>
    <s v="L"/>
    <x v="96"/>
    <x v="5"/>
    <n v="810711038"/>
    <d v="2011-12-28T00:00:00"/>
    <n v="6267"/>
    <n v="9.33"/>
    <n v="6.92"/>
    <x v="96"/>
    <n v="43367.64"/>
    <n v="15103.47"/>
    <n v="0.25830653804930331"/>
  </r>
  <r>
    <x v="3"/>
    <x v="46"/>
    <x v="5"/>
    <x v="0"/>
    <s v="C"/>
    <x v="97"/>
    <x v="7"/>
    <n v="728815257"/>
    <d v="2016-06-29T00:00:00"/>
    <n v="1485"/>
    <n v="154.06"/>
    <n v="90.93"/>
    <x v="97"/>
    <n v="135031.04999999999"/>
    <n v="93748.05"/>
    <n v="0.40977541217707386"/>
  </r>
  <r>
    <x v="6"/>
    <x v="60"/>
    <x v="6"/>
    <x v="0"/>
    <s v="M"/>
    <x v="98"/>
    <x v="4"/>
    <n v="559427106"/>
    <d v="2015-08-08T00:00:00"/>
    <n v="5767"/>
    <n v="81.73"/>
    <n v="56.67"/>
    <x v="98"/>
    <n v="326815.89"/>
    <n v="144521.01999999999"/>
    <n v="0.30661935641747218"/>
  </r>
  <r>
    <x v="3"/>
    <x v="75"/>
    <x v="4"/>
    <x v="0"/>
    <s v="L"/>
    <x v="99"/>
    <x v="1"/>
    <n v="665095412"/>
    <d v="2012-02-15T00:00:00"/>
    <n v="5367"/>
    <n v="668.27"/>
    <n v="502.54"/>
    <x v="99"/>
    <n v="2697132.18"/>
    <n v="889472.91"/>
    <n v="0.24799856345489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7FC4D6-92F9-48A3-A524-E65E1CD485C7}" name="PivotTable4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J42" firstHeaderRow="1" firstDataRow="2" firstDataCol="1"/>
  <pivotFields count="15">
    <pivotField showAll="0">
      <items count="8">
        <item x="4"/>
        <item x="0"/>
        <item x="1"/>
        <item x="2"/>
        <item x="5"/>
        <item x="6"/>
        <item x="3"/>
        <item t="default"/>
      </items>
    </pivotField>
    <pivotField showAll="0"/>
    <pivotField axis="axisRow" showAll="0">
      <items count="13">
        <item x="0"/>
        <item x="9"/>
        <item x="1"/>
        <item x="7"/>
        <item x="8"/>
        <item x="3"/>
        <item x="4"/>
        <item x="10"/>
        <item x="2"/>
        <item x="6"/>
        <item x="11"/>
        <item x="5"/>
        <item t="default"/>
      </items>
    </pivotField>
    <pivotField showAll="0"/>
    <pivotField showAll="0"/>
    <pivotField numFmtId="165" showAll="0"/>
    <pivotField axis="axisCol" numFmtId="49" showAll="0">
      <items count="9">
        <item x="0"/>
        <item x="5"/>
        <item x="1"/>
        <item x="3"/>
        <item x="2"/>
        <item x="4"/>
        <item x="7"/>
        <item x="6"/>
        <item t="default"/>
      </items>
    </pivotField>
    <pivotField showAll="0"/>
    <pivotField numFmtId="165" showAll="0"/>
    <pivotField dataField="1" numFmtId="166" showAll="0"/>
    <pivotField showAll="0"/>
    <pivotField showAll="0"/>
    <pivotField numFmtId="43" showAll="0"/>
    <pivotField numFmtId="43" showAll="0"/>
    <pivotField numFmtId="43" showAll="0"/>
  </pivotFields>
  <rowFields count="1">
    <field x="2"/>
  </rowFields>
  <rowItems count="13">
    <i>
      <x/>
    </i>
    <i>
      <x v="1"/>
    </i>
    <i>
      <x v="2"/>
    </i>
    <i>
      <x v="3"/>
    </i>
    <i>
      <x v="4"/>
    </i>
    <i>
      <x v="5"/>
    </i>
    <i>
      <x v="6"/>
    </i>
    <i>
      <x v="7"/>
    </i>
    <i>
      <x v="8"/>
    </i>
    <i>
      <x v="9"/>
    </i>
    <i>
      <x v="10"/>
    </i>
    <i>
      <x v="11"/>
    </i>
    <i t="grand">
      <x/>
    </i>
  </rowItems>
  <colFields count="1">
    <field x="6"/>
  </colFields>
  <colItems count="9">
    <i>
      <x/>
    </i>
    <i>
      <x v="1"/>
    </i>
    <i>
      <x v="2"/>
    </i>
    <i>
      <x v="3"/>
    </i>
    <i>
      <x v="4"/>
    </i>
    <i>
      <x v="5"/>
    </i>
    <i>
      <x v="6"/>
    </i>
    <i>
      <x v="7"/>
    </i>
    <i t="grand">
      <x/>
    </i>
  </colItems>
  <dataFields count="1">
    <dataField name="Sum of Units Sold" fld="9" baseField="0" baseItem="0" numFmtId="164"/>
  </dataFields>
  <formats count="6">
    <format dxfId="17">
      <pivotArea outline="0" collapsedLevelsAreSubtotals="1" fieldPosition="0"/>
    </format>
    <format dxfId="16">
      <pivotArea type="all" dataOnly="0" outline="0" fieldPosition="0"/>
    </format>
    <format dxfId="15">
      <pivotArea outline="0" collapsedLevelsAreSubtotals="1" fieldPosition="0"/>
    </format>
    <format dxfId="14">
      <pivotArea field="0" type="button" dataOnly="0" labelOnly="1" outline="0"/>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5E9CE3-A50D-4DA8-BEE5-A584439294E4}" name="PivotTable4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5:B24" firstHeaderRow="1" firstDataRow="1" firstDataCol="1"/>
  <pivotFields count="15">
    <pivotField showAll="0">
      <items count="8">
        <item x="4"/>
        <item x="0"/>
        <item x="1"/>
        <item x="2"/>
        <item x="5"/>
        <item x="6"/>
        <item x="3"/>
        <item t="default"/>
      </items>
    </pivotField>
    <pivotField showAll="0"/>
    <pivotField showAll="0"/>
    <pivotField showAll="0"/>
    <pivotField showAll="0"/>
    <pivotField numFmtId="165" showAll="0"/>
    <pivotField axis="axisRow" numFmtId="49" showAll="0">
      <items count="9">
        <item x="0"/>
        <item x="5"/>
        <item x="1"/>
        <item x="3"/>
        <item x="2"/>
        <item x="4"/>
        <item x="7"/>
        <item x="6"/>
        <item t="default"/>
      </items>
    </pivotField>
    <pivotField showAll="0"/>
    <pivotField numFmtId="165" showAll="0"/>
    <pivotField numFmtId="166" showAll="0"/>
    <pivotField showAll="0"/>
    <pivotField showAll="0"/>
    <pivotField dataField="1" numFmtId="43" showAll="0"/>
    <pivotField numFmtId="43" showAll="0"/>
    <pivotField numFmtId="43" showAll="0"/>
  </pivotFields>
  <rowFields count="1">
    <field x="6"/>
  </rowFields>
  <rowItems count="9">
    <i>
      <x/>
    </i>
    <i>
      <x v="1"/>
    </i>
    <i>
      <x v="2"/>
    </i>
    <i>
      <x v="3"/>
    </i>
    <i>
      <x v="4"/>
    </i>
    <i>
      <x v="5"/>
    </i>
    <i>
      <x v="6"/>
    </i>
    <i>
      <x v="7"/>
    </i>
    <i t="grand">
      <x/>
    </i>
  </rowItems>
  <colItems count="1">
    <i/>
  </colItems>
  <dataFields count="1">
    <dataField name="Sum of Total Revenue (£)" fld="12" baseField="0" baseItem="0" numFmtId="164"/>
  </dataFields>
  <formats count="8">
    <format dxfId="25">
      <pivotArea outline="0" collapsedLevelsAreSubtotals="1" fieldPosition="0"/>
    </format>
    <format dxfId="24">
      <pivotArea type="all" dataOnly="0" outline="0" fieldPosition="0"/>
    </format>
    <format dxfId="23">
      <pivotArea outline="0" collapsedLevelsAreSubtotals="1" fieldPosition="0"/>
    </format>
    <format dxfId="22">
      <pivotArea field="0" type="button" dataOnly="0" labelOnly="1" outline="0"/>
    </format>
    <format dxfId="21">
      <pivotArea dataOnly="0" labelOnly="1" grandRow="1" outline="0" fieldPosition="0"/>
    </format>
    <format dxfId="20">
      <pivotArea dataOnly="0" labelOnly="1" outline="0" axis="axisValues" fieldPosition="0"/>
    </format>
    <format dxfId="19">
      <pivotArea dataOnly="0" labelOnly="1" outline="0" axis="axisValues" fieldPosition="0"/>
    </format>
    <format dxfId="18">
      <pivotArea field="6"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01E1F8-78BD-430F-9ED4-AAE56D9B8A6B}" name="PivotTable3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A3:B11" firstHeaderRow="1" firstDataRow="1" firstDataCol="1"/>
  <pivotFields count="15">
    <pivotField axis="axisRow" showAll="0">
      <items count="8">
        <item x="4"/>
        <item x="0"/>
        <item x="1"/>
        <item x="2"/>
        <item x="5"/>
        <item x="6"/>
        <item x="3"/>
        <item t="default"/>
      </items>
    </pivotField>
    <pivotField showAll="0"/>
    <pivotField showAll="0"/>
    <pivotField showAll="0"/>
    <pivotField showAll="0"/>
    <pivotField numFmtId="165" showAll="0"/>
    <pivotField numFmtId="49" showAll="0"/>
    <pivotField showAll="0"/>
    <pivotField numFmtId="165" showAll="0"/>
    <pivotField numFmtId="166" showAll="0"/>
    <pivotField showAll="0"/>
    <pivotField showAll="0"/>
    <pivotField numFmtId="43" showAll="0"/>
    <pivotField numFmtId="43" showAll="0"/>
    <pivotField dataField="1" numFmtId="43" showAll="0"/>
  </pivotFields>
  <rowFields count="1">
    <field x="0"/>
  </rowFields>
  <rowItems count="8">
    <i>
      <x/>
    </i>
    <i>
      <x v="1"/>
    </i>
    <i>
      <x v="2"/>
    </i>
    <i>
      <x v="3"/>
    </i>
    <i>
      <x v="4"/>
    </i>
    <i>
      <x v="5"/>
    </i>
    <i>
      <x v="6"/>
    </i>
    <i t="grand">
      <x/>
    </i>
  </rowItems>
  <colItems count="1">
    <i/>
  </colItems>
  <dataFields count="1">
    <dataField name="Sum of Total Profit (£)" fld="14" baseField="0" baseItem="0" numFmtId="164"/>
  </dataFields>
  <formats count="9">
    <format dxfId="34">
      <pivotArea outline="0" collapsedLevelsAreSubtotals="1" fieldPosition="0"/>
    </format>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 dxfId="27">
      <pivotArea dataOnly="0" labelOnly="1" outline="0" axis="axisValues" fieldPosition="0"/>
    </format>
    <format dxfId="26">
      <pivotArea field="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F6FB50-DBF5-47CF-A130-127CD8D583F2}" name="PivotTable5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A57:B70" firstHeaderRow="1" firstDataRow="1" firstDataCol="1"/>
  <pivotFields count="15">
    <pivotField showAll="0">
      <items count="8">
        <item x="4"/>
        <item x="0"/>
        <item x="1"/>
        <item x="2"/>
        <item x="5"/>
        <item x="6"/>
        <item x="3"/>
        <item t="default"/>
      </items>
    </pivotField>
    <pivotField showAll="0"/>
    <pivotField axis="axisRow" showAll="0">
      <items count="13">
        <item x="0"/>
        <item x="9"/>
        <item x="1"/>
        <item x="7"/>
        <item x="8"/>
        <item x="3"/>
        <item x="4"/>
        <item x="10"/>
        <item x="2"/>
        <item x="6"/>
        <item x="11"/>
        <item x="5"/>
        <item t="default"/>
      </items>
    </pivotField>
    <pivotField showAll="0"/>
    <pivotField showAll="0"/>
    <pivotField numFmtId="165" showAll="0"/>
    <pivotField numFmtId="49" showAll="0"/>
    <pivotField showAll="0"/>
    <pivotField numFmtId="165" showAll="0"/>
    <pivotField numFmtId="166" showAll="0"/>
    <pivotField showAll="0"/>
    <pivotField showAll="0"/>
    <pivotField numFmtId="43" showAll="0"/>
    <pivotField numFmtId="43" showAll="0"/>
    <pivotField dataField="1" numFmtId="43" showAll="0"/>
  </pivotFields>
  <rowFields count="1">
    <field x="2"/>
  </rowFields>
  <rowItems count="13">
    <i>
      <x/>
    </i>
    <i>
      <x v="1"/>
    </i>
    <i>
      <x v="2"/>
    </i>
    <i>
      <x v="3"/>
    </i>
    <i>
      <x v="4"/>
    </i>
    <i>
      <x v="5"/>
    </i>
    <i>
      <x v="6"/>
    </i>
    <i>
      <x v="7"/>
    </i>
    <i>
      <x v="8"/>
    </i>
    <i>
      <x v="9"/>
    </i>
    <i>
      <x v="10"/>
    </i>
    <i>
      <x v="11"/>
    </i>
    <i t="grand">
      <x/>
    </i>
  </rowItems>
  <colItems count="1">
    <i/>
  </colItems>
  <dataFields count="1">
    <dataField name="Profit Per Product (£)" fld="14" baseField="0" baseItem="0" numFmtId="164"/>
  </dataFields>
  <formats count="9">
    <format dxfId="43">
      <pivotArea outline="0" collapsedLevelsAreSubtotals="1" fieldPosition="0"/>
    </format>
    <format dxfId="42">
      <pivotArea type="all" dataOnly="0" outline="0" fieldPosition="0"/>
    </format>
    <format dxfId="41">
      <pivotArea outline="0" collapsedLevelsAreSubtotals="1" fieldPosition="0"/>
    </format>
    <format dxfId="40">
      <pivotArea field="0" type="button" dataOnly="0" labelOnly="1" outline="0"/>
    </format>
    <format dxfId="39">
      <pivotArea dataOnly="0" labelOnly="1" grandRow="1" outline="0" fieldPosition="0"/>
    </format>
    <format dxfId="38">
      <pivotArea dataOnly="0" labelOnly="1" outline="0" axis="axisValues" fieldPosition="0"/>
    </format>
    <format dxfId="37">
      <pivotArea dataOnly="0" labelOnly="1" outline="0" axis="axisValues" fieldPosition="0"/>
    </format>
    <format dxfId="36">
      <pivotArea field="2" type="button" dataOnly="0" labelOnly="1" outline="0" axis="axisRow" fieldPosition="0"/>
    </format>
    <format dxfId="35">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1F3CEA-49B6-4408-B217-9F31EEDC1613}" name="PivotTable4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A45:B53" firstHeaderRow="1" firstDataRow="1" firstDataCol="1"/>
  <pivotFields count="15">
    <pivotField axis="axisRow" showAll="0">
      <items count="8">
        <item x="4"/>
        <item x="0"/>
        <item x="1"/>
        <item x="2"/>
        <item x="5"/>
        <item x="6"/>
        <item x="3"/>
        <item t="default"/>
      </items>
    </pivotField>
    <pivotField showAll="0"/>
    <pivotField showAll="0"/>
    <pivotField showAll="0"/>
    <pivotField showAll="0"/>
    <pivotField numFmtId="165" showAll="0"/>
    <pivotField numFmtId="49" showAll="0"/>
    <pivotField showAll="0"/>
    <pivotField numFmtId="165" showAll="0"/>
    <pivotField numFmtId="166" showAll="0"/>
    <pivotField showAll="0"/>
    <pivotField showAll="0"/>
    <pivotField dataField="1" numFmtId="43" showAll="0"/>
    <pivotField numFmtId="43" showAll="0"/>
    <pivotField numFmtId="43" showAll="0"/>
  </pivotFields>
  <rowFields count="1">
    <field x="0"/>
  </rowFields>
  <rowItems count="8">
    <i>
      <x/>
    </i>
    <i>
      <x v="1"/>
    </i>
    <i>
      <x v="2"/>
    </i>
    <i>
      <x v="3"/>
    </i>
    <i>
      <x v="4"/>
    </i>
    <i>
      <x v="5"/>
    </i>
    <i>
      <x v="6"/>
    </i>
    <i t="grand">
      <x/>
    </i>
  </rowItems>
  <colItems count="1">
    <i/>
  </colItems>
  <dataFields count="1">
    <dataField name="Share of  Revenue " fld="12" showDataAs="percentOfTotal" baseField="0" baseItem="0" numFmtId="10"/>
  </dataFields>
  <formats count="10">
    <format dxfId="53">
      <pivotArea outline="0" collapsedLevelsAreSubtotals="1" fieldPosition="0"/>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grandRow="1" outline="0" fieldPosition="0"/>
    </format>
    <format dxfId="48">
      <pivotArea dataOnly="0" labelOnly="1" outline="0" axis="axisValues" fieldPosition="0"/>
    </format>
    <format dxfId="47">
      <pivotArea dataOnly="0" labelOnly="1" outline="0" axis="axisValues" fieldPosition="0"/>
    </format>
    <format dxfId="46">
      <pivotArea outline="0" fieldPosition="0">
        <references count="1">
          <reference field="4294967294" count="1">
            <x v="0"/>
          </reference>
        </references>
      </pivotArea>
    </format>
    <format dxfId="45">
      <pivotArea field="0" type="button" dataOnly="0" labelOnly="1" outline="0" axis="axisRow"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23977F-8EBC-4C8D-99E4-243DFCC3CE76}" name="PivotTable4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location ref="AZ3:BA8" firstHeaderRow="1" firstDataRow="1" firstDataCol="1"/>
  <pivotFields count="16">
    <pivotField showAll="0" measureFilter="1">
      <items count="8">
        <item x="4"/>
        <item x="0"/>
        <item x="1"/>
        <item x="2"/>
        <item x="5"/>
        <item x="6"/>
        <item x="3"/>
        <item t="default"/>
      </items>
    </pivotField>
    <pivotField showAll="0"/>
    <pivotField axis="axisRow" showAll="0" measureFilter="1" sortType="descending">
      <items count="13">
        <item x="0"/>
        <item x="9"/>
        <item x="1"/>
        <item x="7"/>
        <item x="8"/>
        <item x="3"/>
        <item x="4"/>
        <item x="10"/>
        <item x="2"/>
        <item x="6"/>
        <item x="11"/>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numFmtId="165" showAll="0"/>
    <pivotField numFmtId="49" showAll="0"/>
    <pivotField showAll="0"/>
    <pivotField numFmtId="165" showAll="0"/>
    <pivotField numFmtId="166" showAll="0"/>
    <pivotField showAll="0"/>
    <pivotField showAll="0"/>
    <pivotField dataField="1"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1">
    <field x="2"/>
  </rowFields>
  <rowItems count="5">
    <i>
      <x v="4"/>
    </i>
    <i>
      <x v="8"/>
    </i>
    <i>
      <x v="6"/>
    </i>
    <i>
      <x/>
    </i>
    <i t="grand">
      <x/>
    </i>
  </rowItems>
  <colItems count="1">
    <i/>
  </colItems>
  <dataFields count="1">
    <dataField name="Sum of Total Revenue (£)" fld="12" baseField="0" baseItem="0" numFmtId="43"/>
  </dataFields>
  <chartFormats count="3">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4" filterVal="4"/>
        </filterColumn>
      </autoFilter>
    </filter>
    <filter fld="2" type="count"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19486C-B7CC-4B7E-A4F5-F95D6D048C4D}" name="PivotTable3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AQ3:AR8" firstHeaderRow="1" firstDataRow="1" firstDataCol="1"/>
  <pivotFields count="16">
    <pivotField axis="axisRow" showAll="0" measureFilter="1" sortType="ascending">
      <items count="8">
        <item x="4"/>
        <item x="0"/>
        <item x="1"/>
        <item x="2"/>
        <item x="5"/>
        <item x="6"/>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numFmtId="165" showAll="0"/>
    <pivotField numFmtId="49" showAll="0"/>
    <pivotField showAll="0"/>
    <pivotField numFmtId="165" showAll="0"/>
    <pivotField numFmtId="166" showAll="0"/>
    <pivotField showAll="0"/>
    <pivotField showAll="0"/>
    <pivotField dataField="1"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1">
    <field x="0"/>
  </rowFields>
  <rowItems count="5">
    <i>
      <x v="5"/>
    </i>
    <i>
      <x v="2"/>
    </i>
    <i>
      <x v="4"/>
    </i>
    <i>
      <x v="1"/>
    </i>
    <i t="grand">
      <x/>
    </i>
  </rowItems>
  <colItems count="1">
    <i/>
  </colItems>
  <dataFields count="1">
    <dataField name="Sum of Total Revenue (£)" fld="12" baseField="0" baseItem="0" numFmtId="43"/>
  </dataFields>
  <chartFormats count="3">
    <chartFormat chart="14"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top="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6073F9-F76A-4A3B-831E-259AA6F183C1}" name="PivotTable2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
  <location ref="I3:K16" firstHeaderRow="0" firstDataRow="1" firstDataCol="1"/>
  <pivotFields count="16">
    <pivotField showAll="0">
      <items count="8">
        <item x="4"/>
        <item x="0"/>
        <item x="1"/>
        <item x="2"/>
        <item x="5"/>
        <item x="6"/>
        <item x="3"/>
        <item t="default"/>
      </items>
    </pivotField>
    <pivotField showAll="0"/>
    <pivotField axis="axisRow" showAll="0">
      <items count="13">
        <item x="0"/>
        <item x="9"/>
        <item x="1"/>
        <item x="7"/>
        <item x="8"/>
        <item x="3"/>
        <item x="4"/>
        <item x="10"/>
        <item x="2"/>
        <item x="6"/>
        <item x="11"/>
        <item x="5"/>
        <item t="default"/>
      </items>
    </pivotField>
    <pivotField showAll="0">
      <items count="3">
        <item x="0"/>
        <item x="1"/>
        <item t="default"/>
      </items>
    </pivotField>
    <pivotField showAll="0"/>
    <pivotField numFmtId="165"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49" showAll="0">
      <items count="9">
        <item x="0"/>
        <item x="5"/>
        <item x="1"/>
        <item x="3"/>
        <item x="2"/>
        <item x="4"/>
        <item x="7"/>
        <item x="6"/>
        <item t="default"/>
      </items>
    </pivotField>
    <pivotField showAll="0"/>
    <pivotField numFmtId="165" showAll="0"/>
    <pivotField numFmtId="166" showAll="0"/>
    <pivotField showAll="0"/>
    <pivotField showAll="0"/>
    <pivotField dataField="1" numFmtId="43" showAll="0"/>
    <pivotField numFmtId="43" showAll="0"/>
    <pivotField dataField="1" numFmtId="43" showAll="0"/>
    <pivotField numFmtId="9"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Revenue (£)" fld="12" baseField="0" baseItem="0" numFmtId="43"/>
    <dataField name="Sum of Total Profit (£)" fld="14" baseField="0" baseItem="0" numFmtId="43"/>
  </dataField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F14F71-1438-4FF7-91B5-D247597ECCC4}" name="PivotTable3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location ref="AB3:AD12" firstHeaderRow="0" firstDataRow="1" firstDataCol="1"/>
  <pivotFields count="16">
    <pivotField showAll="0">
      <items count="8">
        <item x="4"/>
        <item x="0"/>
        <item x="1"/>
        <item x="2"/>
        <item x="5"/>
        <item x="6"/>
        <item x="3"/>
        <item t="default"/>
      </items>
    </pivotField>
    <pivotField showAll="0"/>
    <pivotField showAll="0"/>
    <pivotField showAll="0">
      <items count="3">
        <item x="0"/>
        <item x="1"/>
        <item t="default"/>
      </items>
    </pivotField>
    <pivotField showAll="0"/>
    <pivotField numFmtId="165" showAll="0"/>
    <pivotField axis="axisRow" numFmtId="49" showAll="0">
      <items count="9">
        <item x="0"/>
        <item x="5"/>
        <item x="1"/>
        <item x="3"/>
        <item x="2"/>
        <item x="4"/>
        <item x="7"/>
        <item x="6"/>
        <item t="default"/>
      </items>
    </pivotField>
    <pivotField showAll="0"/>
    <pivotField numFmtId="165" showAll="0"/>
    <pivotField numFmtId="166" showAll="0"/>
    <pivotField showAll="0"/>
    <pivotField showAll="0"/>
    <pivotField dataField="1" numFmtId="43" showAll="0"/>
    <pivotField numFmtId="43" showAll="0"/>
    <pivotField dataField="1" numFmtId="43" showAll="0"/>
    <pivotField numFmtId="9" showAll="0"/>
  </pivotFields>
  <rowFields count="1">
    <field x="6"/>
  </rowFields>
  <rowItems count="9">
    <i>
      <x/>
    </i>
    <i>
      <x v="1"/>
    </i>
    <i>
      <x v="2"/>
    </i>
    <i>
      <x v="3"/>
    </i>
    <i>
      <x v="4"/>
    </i>
    <i>
      <x v="5"/>
    </i>
    <i>
      <x v="6"/>
    </i>
    <i>
      <x v="7"/>
    </i>
    <i t="grand">
      <x/>
    </i>
  </rowItems>
  <colFields count="1">
    <field x="-2"/>
  </colFields>
  <colItems count="2">
    <i>
      <x/>
    </i>
    <i i="1">
      <x v="1"/>
    </i>
  </colItems>
  <dataFields count="2">
    <dataField name="Revenue %" fld="12" showDataAs="percentOfCol" baseField="0" baseItem="0" numFmtId="10"/>
    <dataField name="Profit %" fld="14" showDataAs="percentOfCol" baseField="0" baseItem="0" numFmtId="10"/>
  </dataFields>
  <formats count="1">
    <format dxfId="0">
      <pivotArea dataOnly="0" labelOnly="1" outline="0" fieldPosition="0">
        <references count="1">
          <reference field="4294967294" count="2">
            <x v="0"/>
            <x v="1"/>
          </reference>
        </references>
      </pivotArea>
    </format>
  </format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E1544A-FC9D-49B9-A7FD-CDFD601AA0AA}" name="PivotTable2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E3:G12" firstHeaderRow="0" firstDataRow="1" firstDataCol="1"/>
  <pivotFields count="16">
    <pivotField showAll="0">
      <items count="8">
        <item x="4"/>
        <item x="0"/>
        <item x="1"/>
        <item x="2"/>
        <item x="5"/>
        <item x="6"/>
        <item x="3"/>
        <item t="default"/>
      </items>
    </pivotField>
    <pivotField showAll="0"/>
    <pivotField showAll="0"/>
    <pivotField showAll="0">
      <items count="3">
        <item x="0"/>
        <item x="1"/>
        <item t="default"/>
      </items>
    </pivotField>
    <pivotField showAll="0"/>
    <pivotField numFmtId="165" showAll="0"/>
    <pivotField axis="axisRow" numFmtId="49" showAll="0">
      <items count="9">
        <item x="0"/>
        <item x="5"/>
        <item x="1"/>
        <item x="3"/>
        <item x="2"/>
        <item x="4"/>
        <item x="7"/>
        <item x="6"/>
        <item t="default"/>
      </items>
    </pivotField>
    <pivotField showAll="0"/>
    <pivotField numFmtId="165" showAll="0"/>
    <pivotField numFmtId="166" showAll="0"/>
    <pivotField showAll="0"/>
    <pivotField showAll="0"/>
    <pivotField dataField="1" numFmtId="43" showAll="0"/>
    <pivotField numFmtId="43" showAll="0"/>
    <pivotField dataField="1" numFmtId="43" showAll="0"/>
    <pivotField numFmtId="9" showAll="0"/>
  </pivotFields>
  <rowFields count="1">
    <field x="6"/>
  </rowFields>
  <rowItems count="9">
    <i>
      <x/>
    </i>
    <i>
      <x v="1"/>
    </i>
    <i>
      <x v="2"/>
    </i>
    <i>
      <x v="3"/>
    </i>
    <i>
      <x v="4"/>
    </i>
    <i>
      <x v="5"/>
    </i>
    <i>
      <x v="6"/>
    </i>
    <i>
      <x v="7"/>
    </i>
    <i t="grand">
      <x/>
    </i>
  </rowItems>
  <colFields count="1">
    <field x="-2"/>
  </colFields>
  <colItems count="2">
    <i>
      <x/>
    </i>
    <i i="1">
      <x v="1"/>
    </i>
  </colItems>
  <dataFields count="2">
    <dataField name="Sum of Total Revenue (£)" fld="12" baseField="0" baseItem="0" numFmtId="43"/>
    <dataField name="Sum of Total Profit (£)" fld="14" baseField="0" baseItem="0" numFmtId="43"/>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7340C2-BDD9-421F-A940-FB1761C22182}" name="PivotTable4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BP3:BQ38" firstHeaderRow="1" firstDataRow="1" firstDataCol="1"/>
  <pivotFields count="16">
    <pivotField showAll="0">
      <items count="8">
        <item x="4"/>
        <item x="0"/>
        <item x="1"/>
        <item x="2"/>
        <item x="5"/>
        <item x="6"/>
        <item x="3"/>
        <item t="default"/>
      </items>
    </pivotField>
    <pivotField showAll="0"/>
    <pivotField axis="axisRow" showAll="0">
      <items count="13">
        <item x="0"/>
        <item x="9"/>
        <item x="1"/>
        <item x="7"/>
        <item x="8"/>
        <item x="3"/>
        <item x="4"/>
        <item x="10"/>
        <item x="2"/>
        <item x="6"/>
        <item x="11"/>
        <item x="5"/>
        <item t="default"/>
      </items>
    </pivotField>
    <pivotField showAll="0">
      <items count="3">
        <item x="0"/>
        <item x="1"/>
        <item t="default"/>
      </items>
    </pivotField>
    <pivotField showAll="0"/>
    <pivotField numFmtId="165" showAll="0"/>
    <pivotField axis="axisRow" numFmtId="49" showAll="0" measureFilter="1">
      <items count="9">
        <item x="0"/>
        <item x="5"/>
        <item x="1"/>
        <item x="3"/>
        <item x="2"/>
        <item x="4"/>
        <item x="7"/>
        <item x="6"/>
        <item t="default"/>
      </items>
    </pivotField>
    <pivotField showAll="0"/>
    <pivotField numFmtId="165" showAll="0"/>
    <pivotField dataField="1" numFmtId="166" showAll="0"/>
    <pivotField showAll="0"/>
    <pivotField showAll="0"/>
    <pivotField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2">
    <field x="6"/>
    <field x="2"/>
  </rowFields>
  <rowItems count="35">
    <i>
      <x v="1"/>
    </i>
    <i r="1">
      <x v="1"/>
    </i>
    <i r="1">
      <x v="3"/>
    </i>
    <i r="1">
      <x v="5"/>
    </i>
    <i r="1">
      <x v="6"/>
    </i>
    <i r="1">
      <x v="8"/>
    </i>
    <i r="1">
      <x v="10"/>
    </i>
    <i r="1">
      <x v="11"/>
    </i>
    <i>
      <x v="5"/>
    </i>
    <i r="1">
      <x/>
    </i>
    <i r="1">
      <x v="1"/>
    </i>
    <i r="1">
      <x v="3"/>
    </i>
    <i r="1">
      <x v="4"/>
    </i>
    <i r="1">
      <x v="5"/>
    </i>
    <i r="1">
      <x v="6"/>
    </i>
    <i r="1">
      <x v="8"/>
    </i>
    <i r="1">
      <x v="9"/>
    </i>
    <i>
      <x v="6"/>
    </i>
    <i r="1">
      <x v="1"/>
    </i>
    <i r="1">
      <x v="2"/>
    </i>
    <i r="1">
      <x v="3"/>
    </i>
    <i r="1">
      <x v="4"/>
    </i>
    <i r="1">
      <x v="8"/>
    </i>
    <i r="1">
      <x v="9"/>
    </i>
    <i r="1">
      <x v="10"/>
    </i>
    <i r="1">
      <x v="11"/>
    </i>
    <i>
      <x v="7"/>
    </i>
    <i r="1">
      <x v="2"/>
    </i>
    <i r="1">
      <x v="3"/>
    </i>
    <i r="1">
      <x v="4"/>
    </i>
    <i r="1">
      <x v="6"/>
    </i>
    <i r="1">
      <x v="7"/>
    </i>
    <i r="1">
      <x v="9"/>
    </i>
    <i r="1">
      <x v="10"/>
    </i>
    <i t="grand">
      <x/>
    </i>
  </rowItems>
  <colItems count="1">
    <i/>
  </colItems>
  <dataFields count="1">
    <dataField name="Sum of Units Sold" fld="9" baseField="0" baseItem="0" numFmtId="166"/>
  </dataFields>
  <pivotTableStyleInfo name="PivotStyleLight16" showRowHeaders="1" showColHeaders="1" showRowStripes="0" showColStripes="0" showLastColumn="1"/>
  <filters count="1">
    <filter fld="6" type="count" evalOrder="-1" id="7" iMeasureFld="0">
      <autoFilter ref="A1">
        <filterColumn colId="0">
          <top10 top="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59E9F0-B71E-430E-85FC-0F36762E399C}" name="PivotTable4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Year">
  <location ref="BL3:BN12" firstHeaderRow="0" firstDataRow="1" firstDataCol="1"/>
  <pivotFields count="16">
    <pivotField showAll="0" measureFilter="1">
      <items count="8">
        <item x="4"/>
        <item x="0"/>
        <item x="1"/>
        <item x="2"/>
        <item x="5"/>
        <item x="6"/>
        <item x="3"/>
        <item t="default"/>
      </items>
    </pivotField>
    <pivotField showAll="0"/>
    <pivotField showAll="0"/>
    <pivotField showAll="0">
      <items count="3">
        <item x="0"/>
        <item x="1"/>
        <item t="default"/>
      </items>
    </pivotField>
    <pivotField showAll="0"/>
    <pivotField numFmtId="165" showAll="0"/>
    <pivotField axis="axisRow" numFmtId="49" showAll="0" rankBy="0">
      <items count="9">
        <item x="0"/>
        <item x="5"/>
        <item x="1"/>
        <item x="3"/>
        <item x="2"/>
        <item x="4"/>
        <item x="7"/>
        <item x="6"/>
        <item t="default"/>
      </items>
    </pivotField>
    <pivotField showAll="0"/>
    <pivotField numFmtId="165" showAll="0"/>
    <pivotField numFmtId="166" showAll="0"/>
    <pivotField showAll="0"/>
    <pivotField showAll="0"/>
    <pivotField dataField="1"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1">
    <field x="6"/>
  </rowFields>
  <rowItems count="9">
    <i>
      <x/>
    </i>
    <i>
      <x v="1"/>
    </i>
    <i>
      <x v="2"/>
    </i>
    <i>
      <x v="3"/>
    </i>
    <i>
      <x v="4"/>
    </i>
    <i>
      <x v="5"/>
    </i>
    <i>
      <x v="6"/>
    </i>
    <i>
      <x v="7"/>
    </i>
    <i t="grand">
      <x/>
    </i>
  </rowItems>
  <colFields count="1">
    <field x="-2"/>
  </colFields>
  <colItems count="2">
    <i>
      <x/>
    </i>
    <i i="1">
      <x v="1"/>
    </i>
  </colItems>
  <dataFields count="2">
    <dataField name="Sum of Total Revenue (£)" fld="12" baseField="0" baseItem="0" numFmtId="43"/>
    <dataField name="YoY Growth%" fld="12" showDataAs="percentDiff" baseField="6" baseItem="1048828" numFmtId="10"/>
  </dataFields>
  <formats count="3">
    <format dxfId="3">
      <pivotArea dataOnly="0" labelOnly="1" outline="0" fieldPosition="0">
        <references count="1">
          <reference field="4294967294" count="1">
            <x v="1"/>
          </reference>
        </references>
      </pivotArea>
    </format>
    <format dxfId="2">
      <pivotArea outline="0" fieldPosition="0">
        <references count="1">
          <reference field="4294967294" count="1">
            <x v="1"/>
          </reference>
        </references>
      </pivotArea>
    </format>
    <format dxfId="1">
      <pivotArea dataOnly="0" labelOnly="1" outline="0" fieldPosition="0">
        <references count="1">
          <reference field="4294967294" count="1">
            <x v="1"/>
          </reference>
        </references>
      </pivotArea>
    </format>
  </formats>
  <chartFormats count="6">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1"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50010F-1D15-4BF0-B351-6B7921ECAB7F}" name="PivotTable4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Year">
  <location ref="BI3:BJ8" firstHeaderRow="1" firstDataRow="1" firstDataCol="1"/>
  <pivotFields count="16">
    <pivotField showAll="0" measureFilter="1">
      <items count="8">
        <item x="4"/>
        <item x="0"/>
        <item x="1"/>
        <item x="2"/>
        <item x="5"/>
        <item x="6"/>
        <item x="3"/>
        <item t="default"/>
      </items>
    </pivotField>
    <pivotField showAll="0"/>
    <pivotField showAll="0"/>
    <pivotField showAll="0">
      <items count="3">
        <item x="0"/>
        <item x="1"/>
        <item t="default"/>
      </items>
    </pivotField>
    <pivotField showAll="0"/>
    <pivotField numFmtId="165" showAll="0"/>
    <pivotField axis="axisRow" numFmtId="49" showAll="0" measureFilter="1" sortType="ascending">
      <items count="9">
        <item x="0"/>
        <item x="5"/>
        <item x="1"/>
        <item x="3"/>
        <item x="2"/>
        <item x="4"/>
        <item x="7"/>
        <item x="6"/>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showAll="0"/>
    <pivotField showAll="0"/>
    <pivotField dataField="1"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1">
    <field x="6"/>
  </rowFields>
  <rowItems count="5">
    <i>
      <x v="1"/>
    </i>
    <i>
      <x v="6"/>
    </i>
    <i>
      <x v="5"/>
    </i>
    <i>
      <x v="7"/>
    </i>
    <i t="grand">
      <x/>
    </i>
  </rowItems>
  <colItems count="1">
    <i/>
  </colItems>
  <dataFields count="1">
    <dataField name="Sum of Total Revenue (£)" fld="12" baseField="0" baseItem="0" numFmtId="43"/>
  </dataFields>
  <chartFormats count="1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1"/>
          </reference>
        </references>
      </pivotArea>
    </chartFormat>
    <chartFormat chart="6" format="2">
      <pivotArea type="data" outline="0" fieldPosition="0">
        <references count="2">
          <reference field="4294967294" count="1" selected="0">
            <x v="0"/>
          </reference>
          <reference field="6" count="1" selected="0">
            <x v="6"/>
          </reference>
        </references>
      </pivotArea>
    </chartFormat>
    <chartFormat chart="6" format="3">
      <pivotArea type="data" outline="0" fieldPosition="0">
        <references count="2">
          <reference field="4294967294" count="1" selected="0">
            <x v="0"/>
          </reference>
          <reference field="6" count="1" selected="0">
            <x v="5"/>
          </reference>
        </references>
      </pivotArea>
    </chartFormat>
    <chartFormat chart="6" format="4">
      <pivotArea type="data" outline="0" fieldPosition="0">
        <references count="2">
          <reference field="4294967294" count="1" selected="0">
            <x v="0"/>
          </reference>
          <reference field="6" count="1" selected="0">
            <x v="7"/>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1"/>
          </reference>
        </references>
      </pivotArea>
    </chartFormat>
    <chartFormat chart="9" format="7">
      <pivotArea type="data" outline="0" fieldPosition="0">
        <references count="2">
          <reference field="4294967294" count="1" selected="0">
            <x v="0"/>
          </reference>
          <reference field="6" count="1" selected="0">
            <x v="6"/>
          </reference>
        </references>
      </pivotArea>
    </chartFormat>
    <chartFormat chart="9" format="8">
      <pivotArea type="data" outline="0" fieldPosition="0">
        <references count="2">
          <reference field="4294967294" count="1" selected="0">
            <x v="0"/>
          </reference>
          <reference field="6" count="1" selected="0">
            <x v="5"/>
          </reference>
        </references>
      </pivotArea>
    </chartFormat>
    <chartFormat chart="9" format="9">
      <pivotArea type="data" outline="0" fieldPosition="0">
        <references count="2">
          <reference field="4294967294" count="1" selected="0">
            <x v="0"/>
          </reference>
          <reference field="6" count="1" selected="0">
            <x v="7"/>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6" count="1" selected="0">
            <x v="1"/>
          </reference>
        </references>
      </pivotArea>
    </chartFormat>
    <chartFormat chart="10" format="17">
      <pivotArea type="data" outline="0" fieldPosition="0">
        <references count="2">
          <reference field="4294967294" count="1" selected="0">
            <x v="0"/>
          </reference>
          <reference field="6" count="1" selected="0">
            <x v="6"/>
          </reference>
        </references>
      </pivotArea>
    </chartFormat>
    <chartFormat chart="10" format="18">
      <pivotArea type="data" outline="0" fieldPosition="0">
        <references count="2">
          <reference field="4294967294" count="1" selected="0">
            <x v="0"/>
          </reference>
          <reference field="6" count="1" selected="0">
            <x v="5"/>
          </reference>
        </references>
      </pivotArea>
    </chartFormat>
    <chartFormat chart="10" format="19">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4" filterVal="4"/>
        </filterColumn>
      </autoFilter>
    </filter>
    <filter fld="6" type="count" evalOrder="-1" id="4" iMeasureFld="0">
      <autoFilter ref="A1">
        <filterColumn colId="0">
          <top10 top="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A07A18-F8D7-4D6F-9C98-31451F1CF87D}" name="PivotTable3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Product">
  <location ref="AF3:AH16" firstHeaderRow="0" firstDataRow="1" firstDataCol="1"/>
  <pivotFields count="16">
    <pivotField showAll="0">
      <items count="8">
        <item x="4"/>
        <item x="0"/>
        <item x="1"/>
        <item x="2"/>
        <item x="5"/>
        <item x="6"/>
        <item x="3"/>
        <item t="default"/>
      </items>
    </pivotField>
    <pivotField showAll="0"/>
    <pivotField axis="axisRow" showAll="0">
      <items count="13">
        <item x="0"/>
        <item x="9"/>
        <item x="1"/>
        <item x="7"/>
        <item x="8"/>
        <item x="3"/>
        <item x="4"/>
        <item x="10"/>
        <item x="2"/>
        <item x="6"/>
        <item x="11"/>
        <item x="5"/>
        <item t="default"/>
      </items>
    </pivotField>
    <pivotField showAll="0">
      <items count="3">
        <item x="0"/>
        <item x="1"/>
        <item t="default"/>
      </items>
    </pivotField>
    <pivotField showAll="0"/>
    <pivotField numFmtId="165" showAll="0"/>
    <pivotField numFmtId="49" showAll="0">
      <items count="9">
        <item x="0"/>
        <item x="5"/>
        <item x="1"/>
        <item x="3"/>
        <item x="2"/>
        <item x="4"/>
        <item x="7"/>
        <item x="6"/>
        <item t="default"/>
      </items>
    </pivotField>
    <pivotField showAll="0"/>
    <pivotField numFmtId="165" showAll="0"/>
    <pivotField numFmtId="166" showAll="0"/>
    <pivotField showAll="0"/>
    <pivotField showAll="0"/>
    <pivotField dataField="1" numFmtId="43" showAll="0"/>
    <pivotField numFmtId="43" showAll="0"/>
    <pivotField dataField="1" numFmtId="43" showAll="0"/>
    <pivotField numFmtId="9"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showDataAs="percentOfCol" baseField="0" baseItem="0" numFmtId="10"/>
    <dataField name="Profit %" fld="14" showDataAs="percentOfCol" baseField="0" baseItem="0" numFmtId="10"/>
  </dataFields>
  <formats count="1">
    <format dxfId="4">
      <pivotArea dataOnly="0" labelOnly="1" outline="0" fieldPosition="0">
        <references count="1">
          <reference field="4294967294" count="2">
            <x v="0"/>
            <x v="1"/>
          </reference>
        </references>
      </pivotArea>
    </format>
  </formats>
  <chartFormats count="6">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C41D26-3063-47A1-B562-553A72C1434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Region" colHeaderCaption="Years">
  <location ref="M3:V17" firstHeaderRow="1" firstDataRow="2" firstDataCol="1"/>
  <pivotFields count="16">
    <pivotField showAll="0">
      <items count="8">
        <item x="4"/>
        <item x="0"/>
        <item x="1"/>
        <item x="2"/>
        <item x="5"/>
        <item x="6"/>
        <item x="3"/>
        <item t="default"/>
      </items>
    </pivotField>
    <pivotField showAll="0"/>
    <pivotField axis="axisRow" showAll="0">
      <items count="13">
        <item x="0"/>
        <item x="9"/>
        <item x="1"/>
        <item x="7"/>
        <item x="8"/>
        <item x="3"/>
        <item x="4"/>
        <item x="10"/>
        <item x="2"/>
        <item x="6"/>
        <item x="11"/>
        <item x="5"/>
        <item t="default"/>
      </items>
    </pivotField>
    <pivotField showAll="0">
      <items count="3">
        <item x="0"/>
        <item x="1"/>
        <item t="default"/>
      </items>
    </pivotField>
    <pivotField showAll="0"/>
    <pivotField numFmtId="165" showAll="0"/>
    <pivotField axis="axisCol" numFmtId="49" showAll="0">
      <items count="9">
        <item x="0"/>
        <item x="5"/>
        <item x="1"/>
        <item x="3"/>
        <item x="2"/>
        <item x="4"/>
        <item x="7"/>
        <item x="6"/>
        <item t="default"/>
      </items>
    </pivotField>
    <pivotField showAll="0"/>
    <pivotField numFmtId="165" showAll="0"/>
    <pivotField dataField="1" numFmtId="166" showAll="0"/>
    <pivotField showAll="0"/>
    <pivotField showAll="0"/>
    <pivotField numFmtId="43" showAll="0"/>
    <pivotField numFmtId="43" showAll="0"/>
    <pivotField numFmtId="43" showAll="0"/>
    <pivotField numFmtId="9" showAll="0"/>
  </pivotFields>
  <rowFields count="1">
    <field x="2"/>
  </rowFields>
  <rowItems count="13">
    <i>
      <x/>
    </i>
    <i>
      <x v="1"/>
    </i>
    <i>
      <x v="2"/>
    </i>
    <i>
      <x v="3"/>
    </i>
    <i>
      <x v="4"/>
    </i>
    <i>
      <x v="5"/>
    </i>
    <i>
      <x v="6"/>
    </i>
    <i>
      <x v="7"/>
    </i>
    <i>
      <x v="8"/>
    </i>
    <i>
      <x v="9"/>
    </i>
    <i>
      <x v="10"/>
    </i>
    <i>
      <x v="11"/>
    </i>
    <i t="grand">
      <x/>
    </i>
  </rowItems>
  <colFields count="1">
    <field x="6"/>
  </colFields>
  <colItems count="9">
    <i>
      <x/>
    </i>
    <i>
      <x v="1"/>
    </i>
    <i>
      <x v="2"/>
    </i>
    <i>
      <x v="3"/>
    </i>
    <i>
      <x v="4"/>
    </i>
    <i>
      <x v="5"/>
    </i>
    <i>
      <x v="6"/>
    </i>
    <i>
      <x v="7"/>
    </i>
    <i t="grand">
      <x/>
    </i>
  </colItems>
  <dataFields count="1">
    <dataField name="Sum of Units Sold" fld="9" baseField="0" baseItem="0" numFmtId="166"/>
  </dataFields>
  <formats count="6">
    <format dxfId="10">
      <pivotArea type="origin" dataOnly="0" labelOnly="1" outline="0" fieldPosition="0"/>
    </format>
    <format dxfId="9">
      <pivotArea field="6" type="button" dataOnly="0" labelOnly="1" outline="0" axis="axisCol" fieldPosition="0"/>
    </format>
    <format dxfId="8">
      <pivotArea type="topRight" dataOnly="0" labelOnly="1" outline="0" fieldPosition="0"/>
    </format>
    <format dxfId="7">
      <pivotArea dataOnly="0" labelOnly="1" fieldPosition="0">
        <references count="1">
          <reference field="6" count="0"/>
        </references>
      </pivotArea>
    </format>
    <format dxfId="6">
      <pivotArea dataOnly="0" labelOnly="1" grandCol="1" outline="0" fieldPosition="0"/>
    </format>
    <format dxfId="5">
      <pivotArea field="2" type="button" dataOnly="0" labelOnly="1" outline="0" axis="axisRow" fieldPosition="0"/>
    </format>
  </formats>
  <chartFormats count="24">
    <chartFormat chart="10" format="0" series="1">
      <pivotArea type="data" outline="0" fieldPosition="0">
        <references count="2">
          <reference field="4294967294" count="1" selected="0">
            <x v="0"/>
          </reference>
          <reference field="6" count="1" selected="0">
            <x v="0"/>
          </reference>
        </references>
      </pivotArea>
    </chartFormat>
    <chartFormat chart="10" format="1" series="1">
      <pivotArea type="data" outline="0" fieldPosition="0">
        <references count="2">
          <reference field="4294967294" count="1" selected="0">
            <x v="0"/>
          </reference>
          <reference field="6" count="1" selected="0">
            <x v="1"/>
          </reference>
        </references>
      </pivotArea>
    </chartFormat>
    <chartFormat chart="10" format="2" series="1">
      <pivotArea type="data" outline="0" fieldPosition="0">
        <references count="2">
          <reference field="4294967294" count="1" selected="0">
            <x v="0"/>
          </reference>
          <reference field="6" count="1" selected="0">
            <x v="2"/>
          </reference>
        </references>
      </pivotArea>
    </chartFormat>
    <chartFormat chart="10" format="3" series="1">
      <pivotArea type="data" outline="0" fieldPosition="0">
        <references count="2">
          <reference field="4294967294" count="1" selected="0">
            <x v="0"/>
          </reference>
          <reference field="6" count="1" selected="0">
            <x v="3"/>
          </reference>
        </references>
      </pivotArea>
    </chartFormat>
    <chartFormat chart="10" format="4" series="1">
      <pivotArea type="data" outline="0" fieldPosition="0">
        <references count="2">
          <reference field="4294967294" count="1" selected="0">
            <x v="0"/>
          </reference>
          <reference field="6" count="1" selected="0">
            <x v="4"/>
          </reference>
        </references>
      </pivotArea>
    </chartFormat>
    <chartFormat chart="10" format="5" series="1">
      <pivotArea type="data" outline="0" fieldPosition="0">
        <references count="2">
          <reference field="4294967294" count="1" selected="0">
            <x v="0"/>
          </reference>
          <reference field="6" count="1" selected="0">
            <x v="5"/>
          </reference>
        </references>
      </pivotArea>
    </chartFormat>
    <chartFormat chart="10" format="6" series="1">
      <pivotArea type="data" outline="0" fieldPosition="0">
        <references count="2">
          <reference field="4294967294" count="1" selected="0">
            <x v="0"/>
          </reference>
          <reference field="6" count="1" selected="0">
            <x v="6"/>
          </reference>
        </references>
      </pivotArea>
    </chartFormat>
    <chartFormat chart="10" format="7" series="1">
      <pivotArea type="data" outline="0" fieldPosition="0">
        <references count="2">
          <reference field="4294967294" count="1" selected="0">
            <x v="0"/>
          </reference>
          <reference field="6" count="1" selected="0">
            <x v="7"/>
          </reference>
        </references>
      </pivotArea>
    </chartFormat>
    <chartFormat chart="12" format="16" series="1">
      <pivotArea type="data" outline="0" fieldPosition="0">
        <references count="2">
          <reference field="4294967294" count="1" selected="0">
            <x v="0"/>
          </reference>
          <reference field="6" count="1" selected="0">
            <x v="0"/>
          </reference>
        </references>
      </pivotArea>
    </chartFormat>
    <chartFormat chart="12" format="17" series="1">
      <pivotArea type="data" outline="0" fieldPosition="0">
        <references count="2">
          <reference field="4294967294" count="1" selected="0">
            <x v="0"/>
          </reference>
          <reference field="6" count="1" selected="0">
            <x v="1"/>
          </reference>
        </references>
      </pivotArea>
    </chartFormat>
    <chartFormat chart="12" format="18" series="1">
      <pivotArea type="data" outline="0" fieldPosition="0">
        <references count="2">
          <reference field="4294967294" count="1" selected="0">
            <x v="0"/>
          </reference>
          <reference field="6" count="1" selected="0">
            <x v="2"/>
          </reference>
        </references>
      </pivotArea>
    </chartFormat>
    <chartFormat chart="12" format="19" series="1">
      <pivotArea type="data" outline="0" fieldPosition="0">
        <references count="2">
          <reference field="4294967294" count="1" selected="0">
            <x v="0"/>
          </reference>
          <reference field="6" count="1" selected="0">
            <x v="3"/>
          </reference>
        </references>
      </pivotArea>
    </chartFormat>
    <chartFormat chart="12" format="20" series="1">
      <pivotArea type="data" outline="0" fieldPosition="0">
        <references count="2">
          <reference field="4294967294" count="1" selected="0">
            <x v="0"/>
          </reference>
          <reference field="6" count="1" selected="0">
            <x v="4"/>
          </reference>
        </references>
      </pivotArea>
    </chartFormat>
    <chartFormat chart="12" format="21" series="1">
      <pivotArea type="data" outline="0" fieldPosition="0">
        <references count="2">
          <reference field="4294967294" count="1" selected="0">
            <x v="0"/>
          </reference>
          <reference field="6" count="1" selected="0">
            <x v="5"/>
          </reference>
        </references>
      </pivotArea>
    </chartFormat>
    <chartFormat chart="12" format="22" series="1">
      <pivotArea type="data" outline="0" fieldPosition="0">
        <references count="2">
          <reference field="4294967294" count="1" selected="0">
            <x v="0"/>
          </reference>
          <reference field="6" count="1" selected="0">
            <x v="6"/>
          </reference>
        </references>
      </pivotArea>
    </chartFormat>
    <chartFormat chart="12" format="23" series="1">
      <pivotArea type="data" outline="0" fieldPosition="0">
        <references count="2">
          <reference field="4294967294" count="1" selected="0">
            <x v="0"/>
          </reference>
          <reference field="6" count="1" selected="0">
            <x v="7"/>
          </reference>
        </references>
      </pivotArea>
    </chartFormat>
    <chartFormat chart="22" format="32" series="1">
      <pivotArea type="data" outline="0" fieldPosition="0">
        <references count="2">
          <reference field="4294967294" count="1" selected="0">
            <x v="0"/>
          </reference>
          <reference field="6" count="1" selected="0">
            <x v="0"/>
          </reference>
        </references>
      </pivotArea>
    </chartFormat>
    <chartFormat chart="22" format="33" series="1">
      <pivotArea type="data" outline="0" fieldPosition="0">
        <references count="2">
          <reference field="4294967294" count="1" selected="0">
            <x v="0"/>
          </reference>
          <reference field="6" count="1" selected="0">
            <x v="1"/>
          </reference>
        </references>
      </pivotArea>
    </chartFormat>
    <chartFormat chart="22" format="34" series="1">
      <pivotArea type="data" outline="0" fieldPosition="0">
        <references count="2">
          <reference field="4294967294" count="1" selected="0">
            <x v="0"/>
          </reference>
          <reference field="6" count="1" selected="0">
            <x v="2"/>
          </reference>
        </references>
      </pivotArea>
    </chartFormat>
    <chartFormat chart="22" format="35" series="1">
      <pivotArea type="data" outline="0" fieldPosition="0">
        <references count="2">
          <reference field="4294967294" count="1" selected="0">
            <x v="0"/>
          </reference>
          <reference field="6" count="1" selected="0">
            <x v="3"/>
          </reference>
        </references>
      </pivotArea>
    </chartFormat>
    <chartFormat chart="22" format="36" series="1">
      <pivotArea type="data" outline="0" fieldPosition="0">
        <references count="2">
          <reference field="4294967294" count="1" selected="0">
            <x v="0"/>
          </reference>
          <reference field="6" count="1" selected="0">
            <x v="4"/>
          </reference>
        </references>
      </pivotArea>
    </chartFormat>
    <chartFormat chart="22" format="37" series="1">
      <pivotArea type="data" outline="0" fieldPosition="0">
        <references count="2">
          <reference field="4294967294" count="1" selected="0">
            <x v="0"/>
          </reference>
          <reference field="6" count="1" selected="0">
            <x v="5"/>
          </reference>
        </references>
      </pivotArea>
    </chartFormat>
    <chartFormat chart="22" format="38" series="1">
      <pivotArea type="data" outline="0" fieldPosition="0">
        <references count="2">
          <reference field="4294967294" count="1" selected="0">
            <x v="0"/>
          </reference>
          <reference field="6" count="1" selected="0">
            <x v="6"/>
          </reference>
        </references>
      </pivotArea>
    </chartFormat>
    <chartFormat chart="22" format="39" series="1">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BBA376-CAA6-4051-B367-310868FCDB7A}" name="PivotTable2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C11" firstHeaderRow="0" firstDataRow="1" firstDataCol="1"/>
  <pivotFields count="16">
    <pivotField axis="axisRow" showAll="0">
      <items count="8">
        <item x="4"/>
        <item x="0"/>
        <item x="1"/>
        <item x="2"/>
        <item x="5"/>
        <item x="6"/>
        <item x="3"/>
        <item t="default"/>
      </items>
    </pivotField>
    <pivotField showAll="0"/>
    <pivotField showAll="0"/>
    <pivotField showAll="0">
      <items count="3">
        <item x="0"/>
        <item x="1"/>
        <item t="default"/>
      </items>
    </pivotField>
    <pivotField showAll="0"/>
    <pivotField numFmtId="165" showAll="0"/>
    <pivotField numFmtId="49" showAll="0"/>
    <pivotField showAll="0"/>
    <pivotField numFmtId="165" showAll="0"/>
    <pivotField numFmtId="166" showAll="0"/>
    <pivotField showAll="0"/>
    <pivotField showAll="0"/>
    <pivotField dataField="1" numFmtId="43" showAll="0"/>
    <pivotField numFmtId="43" showAll="0"/>
    <pivotField dataField="1" numFmtId="43" showAll="0"/>
    <pivotField numFmtId="9" showAll="0"/>
  </pivotFields>
  <rowFields count="1">
    <field x="0"/>
  </rowFields>
  <rowItems count="8">
    <i>
      <x/>
    </i>
    <i>
      <x v="1"/>
    </i>
    <i>
      <x v="2"/>
    </i>
    <i>
      <x v="3"/>
    </i>
    <i>
      <x v="4"/>
    </i>
    <i>
      <x v="5"/>
    </i>
    <i>
      <x v="6"/>
    </i>
    <i t="grand">
      <x/>
    </i>
  </rowItems>
  <colFields count="1">
    <field x="-2"/>
  </colFields>
  <colItems count="2">
    <i>
      <x/>
    </i>
    <i i="1">
      <x v="1"/>
    </i>
  </colItems>
  <dataFields count="2">
    <dataField name="Sum of Total Revenue (£)" fld="12" baseField="0" baseItem="0" numFmtId="43"/>
    <dataField name="Sum of Total Profit (£)" fld="14" baseField="0" baseItem="0" numFmtId="43"/>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39EC392-EABB-439C-9BF4-EE280667343A}" name="PivotTable3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gion">
  <location ref="AN3:AO8" firstHeaderRow="1" firstDataRow="1" firstDataCol="1"/>
  <pivotFields count="16">
    <pivotField axis="axisRow" showAll="0" measureFilter="1" sortType="descending">
      <items count="8">
        <item x="4"/>
        <item x="0"/>
        <item x="1"/>
        <item x="2"/>
        <item x="5"/>
        <item x="6"/>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numFmtId="165" showAll="0"/>
    <pivotField numFmtId="49" showAll="0"/>
    <pivotField showAll="0"/>
    <pivotField numFmtId="165" showAll="0"/>
    <pivotField numFmtId="166" showAll="0"/>
    <pivotField showAll="0"/>
    <pivotField showAll="0"/>
    <pivotField dataField="1"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1">
    <field x="0"/>
  </rowFields>
  <rowItems count="5">
    <i>
      <x v="6"/>
    </i>
    <i>
      <x v="3"/>
    </i>
    <i>
      <x/>
    </i>
    <i>
      <x v="1"/>
    </i>
    <i t="grand">
      <x/>
    </i>
  </rowItems>
  <colItems count="1">
    <i/>
  </colItems>
  <dataFields count="1">
    <dataField name="Sum of Total Revenue (£)" fld="12" baseField="0" baseItem="0" numFmtId="43"/>
  </dataFields>
  <chartFormats count="4">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2AC3011-53AE-4AB7-B48C-49A628DCC858}" name="PivotTable3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location ref="AJ3:AL12" firstHeaderRow="0" firstDataRow="1" firstDataCol="1"/>
  <pivotFields count="16">
    <pivotField showAll="0">
      <items count="8">
        <item x="4"/>
        <item x="0"/>
        <item x="1"/>
        <item x="2"/>
        <item x="5"/>
        <item x="6"/>
        <item x="3"/>
        <item t="default"/>
      </items>
    </pivotField>
    <pivotField showAll="0"/>
    <pivotField showAll="0"/>
    <pivotField showAll="0">
      <items count="3">
        <item x="0"/>
        <item x="1"/>
        <item t="default"/>
      </items>
    </pivotField>
    <pivotField showAll="0"/>
    <pivotField numFmtId="165" showAll="0"/>
    <pivotField axis="axisRow" numFmtId="49" showAll="0">
      <items count="9">
        <item x="0"/>
        <item x="5"/>
        <item x="1"/>
        <item x="3"/>
        <item x="2"/>
        <item x="4"/>
        <item x="7"/>
        <item x="6"/>
        <item t="default"/>
      </items>
    </pivotField>
    <pivotField showAll="0"/>
    <pivotField numFmtId="165" showAll="0"/>
    <pivotField numFmtId="166" showAll="0"/>
    <pivotField showAll="0"/>
    <pivotField showAll="0"/>
    <pivotField dataField="1" numFmtId="43" showAll="0"/>
    <pivotField numFmtId="43" showAll="0"/>
    <pivotField dataField="1" numFmtId="43" showAll="0"/>
    <pivotField numFmtId="9" showAll="0"/>
  </pivotFields>
  <rowFields count="1">
    <field x="6"/>
  </rowFields>
  <rowItems count="9">
    <i>
      <x/>
    </i>
    <i>
      <x v="1"/>
    </i>
    <i>
      <x v="2"/>
    </i>
    <i>
      <x v="3"/>
    </i>
    <i>
      <x v="4"/>
    </i>
    <i>
      <x v="5"/>
    </i>
    <i>
      <x v="6"/>
    </i>
    <i>
      <x v="7"/>
    </i>
    <i t="grand">
      <x/>
    </i>
  </rowItems>
  <colFields count="1">
    <field x="-2"/>
  </colFields>
  <colItems count="2">
    <i>
      <x/>
    </i>
    <i i="1">
      <x v="1"/>
    </i>
  </colItems>
  <dataFields count="2">
    <dataField name="Average of Total Revenue (£)" fld="12" subtotal="average" baseField="0" baseItem="0" numFmtId="43"/>
    <dataField name="Average of Total Profit (£)" fld="14" subtotal="average" baseField="6" baseItem="0" numFmtId="43"/>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2A03091-8218-4972-85F8-FB710EFC680F}" name="PivotTable4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ountry">
  <location ref="AW3:AX8" firstHeaderRow="1" firstDataRow="1" firstDataCol="1"/>
  <pivotFields count="16">
    <pivotField showAll="0" measureFilter="1">
      <items count="8">
        <item x="4"/>
        <item x="0"/>
        <item x="1"/>
        <item x="2"/>
        <item x="5"/>
        <item x="6"/>
        <item x="3"/>
        <item t="default"/>
      </items>
    </pivotField>
    <pivotField axis="axisRow" showAll="0" measureFilter="1" sortType="ascending">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numFmtId="165" showAll="0"/>
    <pivotField numFmtId="49" showAll="0"/>
    <pivotField showAll="0"/>
    <pivotField numFmtId="165" showAll="0"/>
    <pivotField numFmtId="166" showAll="0"/>
    <pivotField showAll="0"/>
    <pivotField showAll="0"/>
    <pivotField dataField="1"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1">
    <field x="1"/>
  </rowFields>
  <rowItems count="5">
    <i>
      <x v="29"/>
    </i>
    <i>
      <x v="30"/>
    </i>
    <i>
      <x v="47"/>
    </i>
    <i>
      <x v="63"/>
    </i>
    <i t="grand">
      <x/>
    </i>
  </rowItems>
  <colItems count="1">
    <i/>
  </colItems>
  <dataFields count="1">
    <dataField name="Sum of Total Revenue (£)" fld="12" baseField="0" baseItem="0" numFmtId="43"/>
  </dataFields>
  <chartFormats count="3">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4" filterVal="4"/>
        </filterColumn>
      </autoFilter>
    </filter>
    <filter fld="1" type="count" evalOrder="-1" id="4" iMeasureFld="0">
      <autoFilter ref="A1">
        <filterColumn colId="0">
          <top10 top="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E44BC49-05A6-4AD9-ABEA-9400AF549AA4}" name="PivotTable3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X3:Z11" firstHeaderRow="0" firstDataRow="1" firstDataCol="1"/>
  <pivotFields count="16">
    <pivotField axis="axisRow" showAll="0">
      <items count="8">
        <item x="4"/>
        <item x="0"/>
        <item x="1"/>
        <item x="2"/>
        <item x="5"/>
        <item x="6"/>
        <item x="3"/>
        <item t="default"/>
      </items>
    </pivotField>
    <pivotField showAll="0"/>
    <pivotField showAll="0"/>
    <pivotField showAll="0">
      <items count="3">
        <item x="0"/>
        <item x="1"/>
        <item t="default"/>
      </items>
    </pivotField>
    <pivotField showAll="0"/>
    <pivotField numFmtId="165" showAll="0"/>
    <pivotField numFmtId="49" showAll="0"/>
    <pivotField showAll="0"/>
    <pivotField numFmtId="165" showAll="0"/>
    <pivotField numFmtId="166" showAll="0"/>
    <pivotField showAll="0"/>
    <pivotField showAll="0"/>
    <pivotField dataField="1" numFmtId="43" showAll="0"/>
    <pivotField numFmtId="43" showAll="0"/>
    <pivotField dataField="1" numFmtId="43" showAll="0"/>
    <pivotField numFmtId="9" showAll="0"/>
  </pivotFields>
  <rowFields count="1">
    <field x="0"/>
  </rowFields>
  <rowItems count="8">
    <i>
      <x/>
    </i>
    <i>
      <x v="1"/>
    </i>
    <i>
      <x v="2"/>
    </i>
    <i>
      <x v="3"/>
    </i>
    <i>
      <x v="4"/>
    </i>
    <i>
      <x v="5"/>
    </i>
    <i>
      <x v="6"/>
    </i>
    <i t="grand">
      <x/>
    </i>
  </rowItems>
  <colFields count="1">
    <field x="-2"/>
  </colFields>
  <colItems count="2">
    <i>
      <x/>
    </i>
    <i i="1">
      <x v="1"/>
    </i>
  </colItems>
  <dataFields count="2">
    <dataField name="Revenue %" fld="12" showDataAs="percentOfCol" baseField="0" baseItem="0" numFmtId="10"/>
    <dataField name="Profit %" fld="14" showDataAs="percentOfCol" baseField="0" baseItem="0" numFmtId="10"/>
  </dataFields>
  <formats count="1">
    <format dxfId="11">
      <pivotArea dataOnly="0" labelOnly="1" outline="0" fieldPosition="0">
        <references count="1">
          <reference field="4294967294" count="2">
            <x v="0"/>
            <x v="1"/>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8B99BE7-64A8-4CDF-89D3-6EDF97DC11A8}" name="PivotTable4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
  <location ref="BC3:BD8" firstHeaderRow="1" firstDataRow="1" firstDataCol="1"/>
  <pivotFields count="16">
    <pivotField showAll="0" measureFilter="1">
      <items count="8">
        <item x="4"/>
        <item x="0"/>
        <item x="1"/>
        <item x="2"/>
        <item x="5"/>
        <item x="6"/>
        <item x="3"/>
        <item t="default"/>
      </items>
    </pivotField>
    <pivotField showAll="0"/>
    <pivotField axis="axisRow" showAll="0" measureFilter="1" sortType="ascending">
      <items count="13">
        <item x="0"/>
        <item x="9"/>
        <item x="1"/>
        <item x="7"/>
        <item x="8"/>
        <item x="3"/>
        <item x="4"/>
        <item x="10"/>
        <item x="2"/>
        <item x="6"/>
        <item x="11"/>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numFmtId="165" showAll="0"/>
    <pivotField numFmtId="49" showAll="0"/>
    <pivotField showAll="0"/>
    <pivotField numFmtId="165" showAll="0"/>
    <pivotField numFmtId="166" showAll="0"/>
    <pivotField showAll="0"/>
    <pivotField showAll="0"/>
    <pivotField dataField="1"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1">
    <field x="2"/>
  </rowFields>
  <rowItems count="5">
    <i>
      <x v="5"/>
    </i>
    <i>
      <x v="10"/>
    </i>
    <i>
      <x v="1"/>
    </i>
    <i>
      <x v="11"/>
    </i>
    <i t="grand">
      <x/>
    </i>
  </rowItems>
  <colItems count="1">
    <i/>
  </colItems>
  <dataFields count="1">
    <dataField name="Sum of Total Revenue (£)" fld="12" baseField="0" baseItem="0" numFmtId="43"/>
  </dataField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5"/>
          </reference>
        </references>
      </pivotArea>
    </chartFormat>
    <chartFormat chart="2" format="2">
      <pivotArea type="data" outline="0" fieldPosition="0">
        <references count="2">
          <reference field="4294967294" count="1" selected="0">
            <x v="0"/>
          </reference>
          <reference field="2" count="1" selected="0">
            <x v="1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1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5"/>
          </reference>
        </references>
      </pivotArea>
    </chartFormat>
    <chartFormat chart="5" format="7">
      <pivotArea type="data" outline="0" fieldPosition="0">
        <references count="2">
          <reference field="4294967294" count="1" selected="0">
            <x v="0"/>
          </reference>
          <reference field="2" count="1" selected="0">
            <x v="1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 chart="5" format="9">
      <pivotArea type="data" outline="0" fieldPosition="0">
        <references count="2">
          <reference field="4294967294" count="1" selected="0">
            <x v="0"/>
          </reference>
          <reference field="2" count="1" selected="0">
            <x v="1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2" count="1" selected="0">
            <x v="5"/>
          </reference>
        </references>
      </pivotArea>
    </chartFormat>
    <chartFormat chart="6" format="18">
      <pivotArea type="data" outline="0" fieldPosition="0">
        <references count="2">
          <reference field="4294967294" count="1" selected="0">
            <x v="0"/>
          </reference>
          <reference field="2" count="1" selected="0">
            <x v="10"/>
          </reference>
        </references>
      </pivotArea>
    </chartFormat>
    <chartFormat chart="6" format="19">
      <pivotArea type="data" outline="0" fieldPosition="0">
        <references count="2">
          <reference field="4294967294" count="1" selected="0">
            <x v="0"/>
          </reference>
          <reference field="2" count="1" selected="0">
            <x v="1"/>
          </reference>
        </references>
      </pivotArea>
    </chartFormat>
    <chartFormat chart="6" format="20">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4" filterVal="4"/>
        </filterColumn>
      </autoFilter>
    </filter>
    <filter fld="2" type="count" evalOrder="-1" id="4" iMeasureFld="0">
      <autoFilter ref="A1">
        <filterColumn colId="0">
          <top10 top="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6CFE22E-F116-49D2-8848-5C83FE9C94A7}" name="PivotTable3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ountry">
  <location ref="AT3:AU8" firstHeaderRow="1" firstDataRow="1" firstDataCol="1"/>
  <pivotFields count="16">
    <pivotField showAll="0" measureFilter="1">
      <items count="8">
        <item x="4"/>
        <item x="0"/>
        <item x="1"/>
        <item x="2"/>
        <item x="5"/>
        <item x="6"/>
        <item x="3"/>
        <item t="default"/>
      </items>
    </pivotField>
    <pivotField axis="axisRow" showAll="0" measureFilter="1" sortType="ascending">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numFmtId="165" showAll="0"/>
    <pivotField numFmtId="49" showAll="0"/>
    <pivotField showAll="0"/>
    <pivotField numFmtId="165" showAll="0"/>
    <pivotField numFmtId="166" showAll="0"/>
    <pivotField showAll="0"/>
    <pivotField showAll="0"/>
    <pivotField dataField="1"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1">
    <field x="1"/>
  </rowFields>
  <rowItems count="5">
    <i>
      <x v="72"/>
    </i>
    <i>
      <x v="16"/>
    </i>
    <i>
      <x v="46"/>
    </i>
    <i>
      <x v="24"/>
    </i>
    <i t="grand">
      <x/>
    </i>
  </rowItems>
  <colItems count="1">
    <i/>
  </colItems>
  <dataFields count="1">
    <dataField name="Sum of Total Revenue (£)" fld="12" baseField="0" baseItem="0" numFmtId="43"/>
  </dataFields>
  <chartFormats count="3">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4" filterVal="4"/>
        </filterColumn>
      </autoFilter>
    </filter>
    <filter fld="1" type="count"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6BFEEC3-4A36-4157-892A-EB2C79B9F6D1}" name="PivotTable4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Year">
  <location ref="BF3:BG8" firstHeaderRow="1" firstDataRow="1" firstDataCol="1"/>
  <pivotFields count="16">
    <pivotField showAll="0" measureFilter="1">
      <items count="8">
        <item x="4"/>
        <item x="0"/>
        <item x="1"/>
        <item x="2"/>
        <item x="5"/>
        <item x="6"/>
        <item x="3"/>
        <item t="default"/>
      </items>
    </pivotField>
    <pivotField showAll="0"/>
    <pivotField showAll="0"/>
    <pivotField showAll="0">
      <items count="3">
        <item x="0"/>
        <item x="1"/>
        <item t="default"/>
      </items>
    </pivotField>
    <pivotField showAll="0"/>
    <pivotField numFmtId="165" showAll="0"/>
    <pivotField axis="axisRow" numFmtId="49" showAll="0" measureFilter="1" sortType="descending">
      <items count="9">
        <item x="0"/>
        <item x="5"/>
        <item x="1"/>
        <item x="3"/>
        <item x="2"/>
        <item x="4"/>
        <item x="7"/>
        <item x="6"/>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showAll="0"/>
    <pivotField showAll="0"/>
    <pivotField dataField="1" numFmtId="43"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43" showAll="0"/>
    <pivotField numFmtId="43" showAll="0"/>
    <pivotField numFmtId="9" showAll="0"/>
  </pivotFields>
  <rowFields count="1">
    <field x="6"/>
  </rowFields>
  <rowItems count="5">
    <i>
      <x v="2"/>
    </i>
    <i>
      <x v="3"/>
    </i>
    <i>
      <x/>
    </i>
    <i>
      <x v="4"/>
    </i>
    <i t="grand">
      <x/>
    </i>
  </rowItems>
  <colItems count="1">
    <i/>
  </colItems>
  <dataFields count="1">
    <dataField name="Sum of Total Revenue (£)" fld="12" baseField="0" baseItem="0" numFmtId="43"/>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2"/>
          </reference>
        </references>
      </pivotArea>
    </chartFormat>
    <chartFormat chart="2" format="2">
      <pivotArea type="data" outline="0" fieldPosition="0">
        <references count="2">
          <reference field="4294967294" count="1" selected="0">
            <x v="0"/>
          </reference>
          <reference field="6" count="1" selected="0">
            <x v="3"/>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4"/>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2"/>
          </reference>
        </references>
      </pivotArea>
    </chartFormat>
    <chartFormat chart="5" format="7">
      <pivotArea type="data" outline="0" fieldPosition="0">
        <references count="2">
          <reference field="4294967294" count="1" selected="0">
            <x v="0"/>
          </reference>
          <reference field="6" count="1" selected="0">
            <x v="3"/>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4"/>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2"/>
          </reference>
        </references>
      </pivotArea>
    </chartFormat>
    <chartFormat chart="6" format="17">
      <pivotArea type="data" outline="0" fieldPosition="0">
        <references count="2">
          <reference field="4294967294" count="1" selected="0">
            <x v="0"/>
          </reference>
          <reference field="6" count="1" selected="0">
            <x v="3"/>
          </reference>
        </references>
      </pivotArea>
    </chartFormat>
    <chartFormat chart="6" format="18">
      <pivotArea type="data" outline="0" fieldPosition="0">
        <references count="2">
          <reference field="4294967294" count="1" selected="0">
            <x v="0"/>
          </reference>
          <reference field="6" count="1" selected="0">
            <x v="0"/>
          </reference>
        </references>
      </pivotArea>
    </chartFormat>
    <chartFormat chart="6" format="19">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filters count="2">
    <filter fld="6" type="count" evalOrder="-1" id="5" iMeasureFld="0">
      <autoFilter ref="A1">
        <filterColumn colId="0">
          <top10 val="4" filterVal="4"/>
        </filterColumn>
      </autoFilter>
    </filter>
    <filter fld="0"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B2C07FC-31C4-4DD2-AD41-71D01E0AE7E7}" sourceName="Sales Channel">
  <pivotTables>
    <pivotTable tabId="10" name="PivotTable26"/>
    <pivotTable tabId="10" name="PivotTable27"/>
    <pivotTable tabId="10" name="PivotTable28"/>
    <pivotTable tabId="10" name="PivotTable31"/>
    <pivotTable tabId="10" name="PivotTable33"/>
    <pivotTable tabId="10" name="PivotTable34"/>
    <pivotTable tabId="10" name="PivotTable35"/>
    <pivotTable tabId="10" name="PivotTable36"/>
    <pivotTable tabId="10" name="PivotTable38"/>
    <pivotTable tabId="10" name="PivotTable39"/>
    <pivotTable tabId="10" name="PivotTable40"/>
    <pivotTable tabId="10" name="PivotTable41"/>
    <pivotTable tabId="10" name="PivotTable42"/>
    <pivotTable tabId="10" name="PivotTable43"/>
    <pivotTable tabId="10" name="PivotTable45"/>
    <pivotTable tabId="10" name="PivotTable46"/>
    <pivotTable tabId="10" name="PivotTable49"/>
    <pivotTable tabId="10" name="PivotTable2"/>
  </pivotTables>
  <data>
    <tabular pivotCacheId="128689468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FF03E337-78B8-42C5-986F-A5649B8A08FA}" cache="Slicer_Sales_Channel" caption="Sales 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4E6DBB8B-3EFB-44A1-9F8D-9948BFCD9D1D}" cache="Slicer_Sales_Channel" caption="Sales Channe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18" Type="http://schemas.openxmlformats.org/officeDocument/2006/relationships/pivotTable" Target="../pivotTables/pivotTable23.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pivotTable" Target="../pivotTables/pivotTable17.xml"/><Relationship Id="rId17" Type="http://schemas.openxmlformats.org/officeDocument/2006/relationships/pivotTable" Target="../pivotTables/pivotTable22.xml"/><Relationship Id="rId2" Type="http://schemas.openxmlformats.org/officeDocument/2006/relationships/pivotTable" Target="../pivotTables/pivotTable7.xml"/><Relationship Id="rId16" Type="http://schemas.openxmlformats.org/officeDocument/2006/relationships/pivotTable" Target="../pivotTables/pivotTable21.xml"/><Relationship Id="rId20" Type="http://schemas.microsoft.com/office/2007/relationships/slicer" Target="../slicers/slicer2.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5" Type="http://schemas.openxmlformats.org/officeDocument/2006/relationships/pivotTable" Target="../pivotTables/pivotTable20.xml"/><Relationship Id="rId10" Type="http://schemas.openxmlformats.org/officeDocument/2006/relationships/pivotTable" Target="../pivotTables/pivotTable15.xml"/><Relationship Id="rId19" Type="http://schemas.openxmlformats.org/officeDocument/2006/relationships/drawing" Target="../drawings/drawing3.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openxmlformats.org/officeDocument/2006/relationships/pivotTable" Target="../pivotTables/pivotTable19.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13FF-7F4D-410B-ABC7-5F8B62510655}">
  <sheetPr>
    <tabColor rgb="FF7030A0"/>
  </sheetPr>
  <dimension ref="A1:AZ2"/>
  <sheetViews>
    <sheetView tabSelected="1" zoomScale="38" zoomScaleNormal="38" workbookViewId="0">
      <selection activeCell="BB27" sqref="BB27"/>
    </sheetView>
  </sheetViews>
  <sheetFormatPr defaultRowHeight="15" x14ac:dyDescent="0.25"/>
  <cols>
    <col min="52" max="52" width="7.42578125" customWidth="1"/>
  </cols>
  <sheetData>
    <row r="1" spans="1:52" x14ac:dyDescent="0.25">
      <c r="A1" s="62" t="s">
        <v>158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4"/>
    </row>
    <row r="2" spans="1:52" ht="36" customHeight="1" x14ac:dyDescent="0.25">
      <c r="A2" s="65"/>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7"/>
    </row>
  </sheetData>
  <mergeCells count="1">
    <mergeCell ref="A1:A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A07C-5D79-4258-A4E1-8C7BD9F60BD2}">
  <sheetPr>
    <tabColor rgb="FF00B050"/>
  </sheetPr>
  <dimension ref="A1:AB171"/>
  <sheetViews>
    <sheetView topLeftCell="O24" workbookViewId="0">
      <selection activeCell="T72" sqref="T72"/>
    </sheetView>
  </sheetViews>
  <sheetFormatPr defaultRowHeight="15" x14ac:dyDescent="0.25"/>
  <cols>
    <col min="1" max="1" width="32.42578125" bestFit="1" customWidth="1"/>
    <col min="2" max="2" width="31.5703125" bestFit="1" customWidth="1"/>
    <col min="3" max="3" width="14.5703125" customWidth="1"/>
    <col min="4" max="4" width="13.42578125" bestFit="1" customWidth="1"/>
    <col min="5" max="5" width="13.28515625" bestFit="1" customWidth="1"/>
    <col min="6" max="6" width="10.7109375" style="2" bestFit="1" customWidth="1"/>
    <col min="7" max="7" width="5" style="3" bestFit="1" customWidth="1"/>
    <col min="8" max="8" width="10" style="1" bestFit="1" customWidth="1"/>
    <col min="9" max="9" width="10.7109375" style="2" bestFit="1" customWidth="1"/>
    <col min="10" max="10" width="11.28515625" style="5" bestFit="1" customWidth="1"/>
    <col min="11" max="11" width="12.42578125" style="1" bestFit="1" customWidth="1"/>
    <col min="12" max="12" width="11.85546875" style="1" bestFit="1" customWidth="1"/>
    <col min="13" max="13" width="17.42578125" style="4" bestFit="1" customWidth="1"/>
    <col min="14" max="14" width="14.140625" style="4" bestFit="1" customWidth="1"/>
    <col min="15" max="15" width="15.28515625" style="4" bestFit="1" customWidth="1"/>
    <col min="19" max="19" width="32.42578125" bestFit="1" customWidth="1"/>
    <col min="20" max="20" width="16.28515625" bestFit="1" customWidth="1"/>
    <col min="21" max="21" width="19.28515625" bestFit="1" customWidth="1"/>
    <col min="22" max="22" width="16.28515625" bestFit="1" customWidth="1"/>
    <col min="23" max="28" width="15.28515625" bestFit="1" customWidth="1"/>
  </cols>
  <sheetData>
    <row r="1" spans="1:20" x14ac:dyDescent="0.25">
      <c r="A1" s="12" t="s">
        <v>0</v>
      </c>
      <c r="B1" s="12" t="s">
        <v>1</v>
      </c>
      <c r="C1" s="12" t="s">
        <v>2</v>
      </c>
      <c r="D1" s="12" t="s">
        <v>3</v>
      </c>
      <c r="E1" s="12" t="s">
        <v>4</v>
      </c>
      <c r="F1" s="13" t="s">
        <v>5</v>
      </c>
      <c r="G1" s="14" t="s">
        <v>115</v>
      </c>
      <c r="H1" s="15" t="s">
        <v>6</v>
      </c>
      <c r="I1" s="13" t="s">
        <v>7</v>
      </c>
      <c r="J1" s="16" t="s">
        <v>8</v>
      </c>
      <c r="K1" s="15" t="s">
        <v>116</v>
      </c>
      <c r="L1" s="15" t="s">
        <v>117</v>
      </c>
      <c r="M1" s="17" t="s">
        <v>118</v>
      </c>
      <c r="N1" s="17" t="s">
        <v>119</v>
      </c>
      <c r="O1" s="17" t="s">
        <v>120</v>
      </c>
      <c r="S1" s="43" t="s">
        <v>150</v>
      </c>
    </row>
    <row r="2" spans="1:20" x14ac:dyDescent="0.25">
      <c r="A2" s="6" t="s">
        <v>14</v>
      </c>
      <c r="B2" s="6" t="s">
        <v>15</v>
      </c>
      <c r="C2" s="6" t="s">
        <v>16</v>
      </c>
      <c r="D2" s="6" t="s">
        <v>17</v>
      </c>
      <c r="E2" s="6" t="s">
        <v>18</v>
      </c>
      <c r="F2" s="7">
        <v>40326</v>
      </c>
      <c r="G2" s="8">
        <f>YEAR(F2)</f>
        <v>2010</v>
      </c>
      <c r="H2" s="9">
        <v>669165933</v>
      </c>
      <c r="I2" s="7">
        <v>40356</v>
      </c>
      <c r="J2" s="10">
        <v>9925</v>
      </c>
      <c r="K2" s="9">
        <v>255.28</v>
      </c>
      <c r="L2" s="9">
        <v>159.41999999999999</v>
      </c>
      <c r="M2" s="11">
        <v>2533654</v>
      </c>
      <c r="N2" s="11">
        <v>1582243.5</v>
      </c>
      <c r="O2" s="11">
        <v>951410.5</v>
      </c>
      <c r="S2" s="43" t="s">
        <v>151</v>
      </c>
    </row>
    <row r="3" spans="1:20" x14ac:dyDescent="0.25">
      <c r="A3" s="6" t="s">
        <v>19</v>
      </c>
      <c r="B3" s="6" t="s">
        <v>20</v>
      </c>
      <c r="C3" s="6" t="s">
        <v>21</v>
      </c>
      <c r="D3" s="6" t="s">
        <v>22</v>
      </c>
      <c r="E3" s="6" t="s">
        <v>23</v>
      </c>
      <c r="F3" s="7">
        <v>41143</v>
      </c>
      <c r="G3" s="8">
        <f>YEAR(F3)</f>
        <v>2012</v>
      </c>
      <c r="H3" s="9">
        <v>963881480</v>
      </c>
      <c r="I3" s="7">
        <v>41167</v>
      </c>
      <c r="J3" s="10">
        <v>2804</v>
      </c>
      <c r="K3" s="9">
        <v>205.7</v>
      </c>
      <c r="L3" s="9">
        <v>117.11</v>
      </c>
      <c r="M3" s="11">
        <v>576782.80000000005</v>
      </c>
      <c r="N3" s="11">
        <v>328376.44</v>
      </c>
      <c r="O3" s="11">
        <v>248406.36</v>
      </c>
    </row>
    <row r="4" spans="1:20" x14ac:dyDescent="0.25">
      <c r="A4" s="6" t="s">
        <v>24</v>
      </c>
      <c r="B4" s="6" t="s">
        <v>25</v>
      </c>
      <c r="C4" s="6" t="s">
        <v>26</v>
      </c>
      <c r="D4" s="6" t="s">
        <v>17</v>
      </c>
      <c r="E4" s="6" t="s">
        <v>27</v>
      </c>
      <c r="F4" s="7">
        <v>41761</v>
      </c>
      <c r="G4" s="8">
        <f>YEAR(F4)</f>
        <v>2014</v>
      </c>
      <c r="H4" s="9">
        <v>341417157</v>
      </c>
      <c r="I4" s="7">
        <v>41767</v>
      </c>
      <c r="J4" s="10">
        <v>1779</v>
      </c>
      <c r="K4" s="9">
        <v>651.21</v>
      </c>
      <c r="L4" s="9">
        <v>524.96</v>
      </c>
      <c r="M4" s="11">
        <v>1158502.5900000001</v>
      </c>
      <c r="N4" s="11">
        <v>933903.84</v>
      </c>
      <c r="O4" s="11">
        <v>224598.75</v>
      </c>
      <c r="S4" s="28" t="s">
        <v>134</v>
      </c>
      <c r="T4" s="28"/>
    </row>
    <row r="5" spans="1:20" x14ac:dyDescent="0.25">
      <c r="A5" s="6" t="s">
        <v>28</v>
      </c>
      <c r="B5" s="6" t="s">
        <v>29</v>
      </c>
      <c r="C5" s="6" t="s">
        <v>30</v>
      </c>
      <c r="D5" s="6" t="s">
        <v>22</v>
      </c>
      <c r="E5" s="6" t="s">
        <v>23</v>
      </c>
      <c r="F5" s="7">
        <v>41810</v>
      </c>
      <c r="G5" s="8">
        <f t="shared" ref="G5:G68" si="0">YEAR(F5)</f>
        <v>2014</v>
      </c>
      <c r="H5" s="9">
        <v>514321792</v>
      </c>
      <c r="I5" s="7">
        <v>41825</v>
      </c>
      <c r="J5" s="10">
        <v>8102</v>
      </c>
      <c r="K5" s="9">
        <v>9.33</v>
      </c>
      <c r="L5" s="9">
        <v>6.92</v>
      </c>
      <c r="M5" s="11">
        <v>75591.66</v>
      </c>
      <c r="N5" s="11">
        <v>56065.84</v>
      </c>
      <c r="O5" s="11">
        <v>19525.82</v>
      </c>
      <c r="S5" s="12" t="s">
        <v>124</v>
      </c>
      <c r="T5" s="19" t="s">
        <v>125</v>
      </c>
    </row>
    <row r="6" spans="1:20" x14ac:dyDescent="0.25">
      <c r="A6" s="6" t="s">
        <v>28</v>
      </c>
      <c r="B6" s="6" t="s">
        <v>31</v>
      </c>
      <c r="C6" s="6" t="s">
        <v>26</v>
      </c>
      <c r="D6" s="6" t="s">
        <v>17</v>
      </c>
      <c r="E6" s="6" t="s">
        <v>27</v>
      </c>
      <c r="F6" s="7">
        <v>41306</v>
      </c>
      <c r="G6" s="8">
        <f t="shared" si="0"/>
        <v>2013</v>
      </c>
      <c r="H6" s="9">
        <v>115456712</v>
      </c>
      <c r="I6" s="7">
        <v>41311</v>
      </c>
      <c r="J6" s="10">
        <v>5062</v>
      </c>
      <c r="K6" s="9">
        <v>651.21</v>
      </c>
      <c r="L6" s="9">
        <v>524.96</v>
      </c>
      <c r="M6" s="11">
        <v>3296425.02</v>
      </c>
      <c r="N6" s="11">
        <v>2657347.52</v>
      </c>
      <c r="O6" s="11">
        <v>639077.5</v>
      </c>
      <c r="S6" s="6" t="s">
        <v>41</v>
      </c>
      <c r="T6" s="18">
        <f>SUMIF($A$2:$A$101,S6,$O$2:$O$101)</f>
        <v>6113845.8700000001</v>
      </c>
    </row>
    <row r="7" spans="1:20" x14ac:dyDescent="0.25">
      <c r="A7" s="6" t="s">
        <v>14</v>
      </c>
      <c r="B7" s="6" t="s">
        <v>32</v>
      </c>
      <c r="C7" s="6" t="s">
        <v>16</v>
      </c>
      <c r="D7" s="6" t="s">
        <v>22</v>
      </c>
      <c r="E7" s="6" t="s">
        <v>23</v>
      </c>
      <c r="F7" s="7">
        <v>42039</v>
      </c>
      <c r="G7" s="8">
        <f t="shared" si="0"/>
        <v>2015</v>
      </c>
      <c r="H7" s="9">
        <v>547995746</v>
      </c>
      <c r="I7" s="7">
        <v>42056</v>
      </c>
      <c r="J7" s="10">
        <v>2974</v>
      </c>
      <c r="K7" s="9">
        <v>255.28</v>
      </c>
      <c r="L7" s="9">
        <v>159.41999999999999</v>
      </c>
      <c r="M7" s="11">
        <v>759202.72</v>
      </c>
      <c r="N7" s="11">
        <v>474115.08</v>
      </c>
      <c r="O7" s="11">
        <v>285087.64</v>
      </c>
      <c r="S7" s="6" t="s">
        <v>14</v>
      </c>
      <c r="T7" s="18">
        <f t="shared" ref="T7:T12" si="1">SUMIF($A$2:$A$101,S7,$O$2:$O$101)</f>
        <v>4722160.03</v>
      </c>
    </row>
    <row r="8" spans="1:20" x14ac:dyDescent="0.25">
      <c r="A8" s="6" t="s">
        <v>28</v>
      </c>
      <c r="B8" s="6" t="s">
        <v>33</v>
      </c>
      <c r="C8" s="6" t="s">
        <v>34</v>
      </c>
      <c r="D8" s="6" t="s">
        <v>17</v>
      </c>
      <c r="E8" s="6" t="s">
        <v>35</v>
      </c>
      <c r="F8" s="7">
        <v>40656</v>
      </c>
      <c r="G8" s="8">
        <f t="shared" si="0"/>
        <v>2011</v>
      </c>
      <c r="H8" s="9">
        <v>135425221</v>
      </c>
      <c r="I8" s="7">
        <v>40660</v>
      </c>
      <c r="J8" s="10">
        <v>4187</v>
      </c>
      <c r="K8" s="9">
        <v>668.27</v>
      </c>
      <c r="L8" s="9">
        <v>502.54</v>
      </c>
      <c r="M8" s="11">
        <v>2798046.49</v>
      </c>
      <c r="N8" s="11">
        <v>2104134.98</v>
      </c>
      <c r="O8" s="11">
        <v>693911.51</v>
      </c>
      <c r="S8" s="6" t="s">
        <v>19</v>
      </c>
      <c r="T8" s="18">
        <f t="shared" si="1"/>
        <v>2846907.85</v>
      </c>
    </row>
    <row r="9" spans="1:20" x14ac:dyDescent="0.25">
      <c r="A9" s="6" t="s">
        <v>28</v>
      </c>
      <c r="B9" s="6" t="s">
        <v>36</v>
      </c>
      <c r="C9" s="6" t="s">
        <v>37</v>
      </c>
      <c r="D9" s="6" t="s">
        <v>22</v>
      </c>
      <c r="E9" s="6" t="s">
        <v>18</v>
      </c>
      <c r="F9" s="7">
        <v>41107</v>
      </c>
      <c r="G9" s="8">
        <f t="shared" si="0"/>
        <v>2012</v>
      </c>
      <c r="H9" s="9">
        <v>871543967</v>
      </c>
      <c r="I9" s="7">
        <v>41117</v>
      </c>
      <c r="J9" s="10">
        <v>8082</v>
      </c>
      <c r="K9" s="9">
        <v>154.06</v>
      </c>
      <c r="L9" s="9">
        <v>90.93</v>
      </c>
      <c r="M9" s="11">
        <v>1245112.92</v>
      </c>
      <c r="N9" s="11">
        <v>734896.26</v>
      </c>
      <c r="O9" s="11">
        <v>510216.66</v>
      </c>
      <c r="S9" s="6" t="s">
        <v>24</v>
      </c>
      <c r="T9" s="18">
        <f t="shared" si="1"/>
        <v>11082938.629999999</v>
      </c>
    </row>
    <row r="10" spans="1:20" x14ac:dyDescent="0.25">
      <c r="A10" s="6" t="s">
        <v>28</v>
      </c>
      <c r="B10" s="6" t="s">
        <v>38</v>
      </c>
      <c r="C10" s="6" t="s">
        <v>39</v>
      </c>
      <c r="D10" s="6" t="s">
        <v>17</v>
      </c>
      <c r="E10" s="6" t="s">
        <v>35</v>
      </c>
      <c r="F10" s="7">
        <v>42199</v>
      </c>
      <c r="G10" s="8">
        <f t="shared" si="0"/>
        <v>2015</v>
      </c>
      <c r="H10" s="9">
        <v>770463311</v>
      </c>
      <c r="I10" s="7">
        <v>42241</v>
      </c>
      <c r="J10" s="10">
        <v>6070</v>
      </c>
      <c r="K10" s="9">
        <v>81.73</v>
      </c>
      <c r="L10" s="9">
        <v>56.67</v>
      </c>
      <c r="M10" s="11">
        <v>496101.1</v>
      </c>
      <c r="N10" s="11">
        <v>343986.9</v>
      </c>
      <c r="O10" s="11">
        <v>152114.20000000001</v>
      </c>
      <c r="S10" s="6" t="s">
        <v>71</v>
      </c>
      <c r="T10" s="18">
        <f t="shared" si="1"/>
        <v>5761191.8599999994</v>
      </c>
    </row>
    <row r="11" spans="1:20" x14ac:dyDescent="0.25">
      <c r="A11" s="6" t="s">
        <v>28</v>
      </c>
      <c r="B11" s="6" t="s">
        <v>40</v>
      </c>
      <c r="C11" s="6" t="s">
        <v>21</v>
      </c>
      <c r="D11" s="6" t="s">
        <v>22</v>
      </c>
      <c r="E11" s="6" t="s">
        <v>18</v>
      </c>
      <c r="F11" s="7">
        <v>41747</v>
      </c>
      <c r="G11" s="8">
        <f t="shared" si="0"/>
        <v>2014</v>
      </c>
      <c r="H11" s="9">
        <v>616607081</v>
      </c>
      <c r="I11" s="7">
        <v>41789</v>
      </c>
      <c r="J11" s="10">
        <v>6593</v>
      </c>
      <c r="K11" s="9">
        <v>205.7</v>
      </c>
      <c r="L11" s="9">
        <v>117.11</v>
      </c>
      <c r="M11" s="11">
        <v>1356180.1</v>
      </c>
      <c r="N11" s="11">
        <v>772106.23</v>
      </c>
      <c r="O11" s="11">
        <v>584073.87</v>
      </c>
      <c r="S11" s="6" t="s">
        <v>98</v>
      </c>
      <c r="T11" s="18">
        <f t="shared" si="1"/>
        <v>1457942.76</v>
      </c>
    </row>
    <row r="12" spans="1:20" x14ac:dyDescent="0.25">
      <c r="A12" s="6" t="s">
        <v>41</v>
      </c>
      <c r="B12" s="6" t="s">
        <v>42</v>
      </c>
      <c r="C12" s="6" t="s">
        <v>37</v>
      </c>
      <c r="D12" s="6" t="s">
        <v>22</v>
      </c>
      <c r="E12" s="6" t="s">
        <v>18</v>
      </c>
      <c r="F12" s="7">
        <v>40718</v>
      </c>
      <c r="G12" s="8">
        <f t="shared" si="0"/>
        <v>2011</v>
      </c>
      <c r="H12" s="9">
        <v>814711606</v>
      </c>
      <c r="I12" s="7">
        <v>40736</v>
      </c>
      <c r="J12" s="10">
        <v>124</v>
      </c>
      <c r="K12" s="9">
        <v>154.06</v>
      </c>
      <c r="L12" s="9">
        <v>90.93</v>
      </c>
      <c r="M12" s="11">
        <v>19103.439999999999</v>
      </c>
      <c r="N12" s="11">
        <v>11275.32</v>
      </c>
      <c r="O12" s="11">
        <v>7828.12</v>
      </c>
      <c r="S12" s="6" t="s">
        <v>28</v>
      </c>
      <c r="T12" s="18">
        <f t="shared" si="1"/>
        <v>12183211.400000004</v>
      </c>
    </row>
    <row r="13" spans="1:20" x14ac:dyDescent="0.25">
      <c r="A13" s="6" t="s">
        <v>28</v>
      </c>
      <c r="B13" s="6" t="s">
        <v>43</v>
      </c>
      <c r="C13" s="6" t="s">
        <v>44</v>
      </c>
      <c r="D13" s="6" t="s">
        <v>17</v>
      </c>
      <c r="E13" s="6" t="s">
        <v>18</v>
      </c>
      <c r="F13" s="7">
        <v>41853</v>
      </c>
      <c r="G13" s="8">
        <f t="shared" si="0"/>
        <v>2014</v>
      </c>
      <c r="H13" s="9">
        <v>939825713</v>
      </c>
      <c r="I13" s="7">
        <v>41870</v>
      </c>
      <c r="J13" s="10">
        <v>4168</v>
      </c>
      <c r="K13" s="9">
        <v>109.28</v>
      </c>
      <c r="L13" s="9">
        <v>35.840000000000003</v>
      </c>
      <c r="M13" s="11">
        <v>455479.03999999998</v>
      </c>
      <c r="N13" s="11">
        <v>149381.12</v>
      </c>
      <c r="O13" s="11">
        <v>306097.91999999998</v>
      </c>
      <c r="S13" s="6"/>
      <c r="T13" s="17">
        <f>SUM(T6:T12)</f>
        <v>44168198.400000006</v>
      </c>
    </row>
    <row r="14" spans="1:20" x14ac:dyDescent="0.25">
      <c r="A14" s="6" t="s">
        <v>41</v>
      </c>
      <c r="B14" s="6" t="s">
        <v>45</v>
      </c>
      <c r="C14" s="6" t="s">
        <v>44</v>
      </c>
      <c r="D14" s="6" t="s">
        <v>22</v>
      </c>
      <c r="E14" s="6" t="s">
        <v>27</v>
      </c>
      <c r="F14" s="7">
        <v>42748</v>
      </c>
      <c r="G14" s="8">
        <f t="shared" si="0"/>
        <v>2017</v>
      </c>
      <c r="H14" s="9">
        <v>187310731</v>
      </c>
      <c r="I14" s="7">
        <v>42795</v>
      </c>
      <c r="J14" s="10">
        <v>8263</v>
      </c>
      <c r="K14" s="9">
        <v>109.28</v>
      </c>
      <c r="L14" s="9">
        <v>35.840000000000003</v>
      </c>
      <c r="M14" s="11">
        <v>902980.64</v>
      </c>
      <c r="N14" s="11">
        <v>296145.91999999998</v>
      </c>
      <c r="O14" s="11">
        <v>606834.72</v>
      </c>
    </row>
    <row r="15" spans="1:20" x14ac:dyDescent="0.25">
      <c r="A15" s="6" t="s">
        <v>19</v>
      </c>
      <c r="B15" s="6" t="s">
        <v>46</v>
      </c>
      <c r="C15" s="6" t="s">
        <v>34</v>
      </c>
      <c r="D15" s="6" t="s">
        <v>17</v>
      </c>
      <c r="E15" s="6" t="s">
        <v>18</v>
      </c>
      <c r="F15" s="7">
        <v>42774</v>
      </c>
      <c r="G15" s="8">
        <f t="shared" si="0"/>
        <v>2017</v>
      </c>
      <c r="H15" s="9">
        <v>522840487</v>
      </c>
      <c r="I15" s="7">
        <v>42779</v>
      </c>
      <c r="J15" s="10">
        <v>8974</v>
      </c>
      <c r="K15" s="9">
        <v>668.27</v>
      </c>
      <c r="L15" s="9">
        <v>502.54</v>
      </c>
      <c r="M15" s="11">
        <v>5997054.9800000004</v>
      </c>
      <c r="N15" s="11">
        <v>4509793.96</v>
      </c>
      <c r="O15" s="11">
        <v>1487261.02</v>
      </c>
      <c r="S15" s="68" t="s">
        <v>133</v>
      </c>
      <c r="T15" s="68"/>
    </row>
    <row r="16" spans="1:20" x14ac:dyDescent="0.25">
      <c r="A16" s="6" t="s">
        <v>41</v>
      </c>
      <c r="B16" s="6" t="s">
        <v>47</v>
      </c>
      <c r="C16" s="6" t="s">
        <v>39</v>
      </c>
      <c r="D16" s="6" t="s">
        <v>17</v>
      </c>
      <c r="E16" s="6" t="s">
        <v>23</v>
      </c>
      <c r="F16" s="7">
        <v>41689</v>
      </c>
      <c r="G16" s="8">
        <f t="shared" si="0"/>
        <v>2014</v>
      </c>
      <c r="H16" s="9">
        <v>832401311</v>
      </c>
      <c r="I16" s="7">
        <v>41693</v>
      </c>
      <c r="J16" s="10">
        <v>4901</v>
      </c>
      <c r="K16" s="9">
        <v>81.73</v>
      </c>
      <c r="L16" s="9">
        <v>56.67</v>
      </c>
      <c r="M16" s="11">
        <v>400558.73</v>
      </c>
      <c r="N16" s="11">
        <v>277739.67</v>
      </c>
      <c r="O16" s="11">
        <v>122819.06</v>
      </c>
      <c r="S16" s="12" t="s">
        <v>115</v>
      </c>
      <c r="T16" s="19" t="s">
        <v>126</v>
      </c>
    </row>
    <row r="17" spans="1:28" x14ac:dyDescent="0.25">
      <c r="A17" s="6" t="s">
        <v>24</v>
      </c>
      <c r="B17" s="6" t="s">
        <v>48</v>
      </c>
      <c r="C17" s="6" t="s">
        <v>44</v>
      </c>
      <c r="D17" s="6" t="s">
        <v>22</v>
      </c>
      <c r="E17" s="6" t="s">
        <v>35</v>
      </c>
      <c r="F17" s="7">
        <v>41022</v>
      </c>
      <c r="G17" s="8">
        <f t="shared" si="0"/>
        <v>2012</v>
      </c>
      <c r="H17" s="9">
        <v>972292029</v>
      </c>
      <c r="I17" s="7">
        <v>41063</v>
      </c>
      <c r="J17" s="10">
        <v>1673</v>
      </c>
      <c r="K17" s="9">
        <v>109.28</v>
      </c>
      <c r="L17" s="9">
        <v>35.840000000000003</v>
      </c>
      <c r="M17" s="11">
        <v>182825.44</v>
      </c>
      <c r="N17" s="11">
        <v>59960.32</v>
      </c>
      <c r="O17" s="11">
        <v>122865.12</v>
      </c>
      <c r="S17" s="8">
        <v>2010</v>
      </c>
      <c r="T17" s="18">
        <f>SUMIF($G$2:$G$101,S17,$M$2:$M$101)</f>
        <v>19186024.920000002</v>
      </c>
    </row>
    <row r="18" spans="1:28" x14ac:dyDescent="0.25">
      <c r="A18" s="6" t="s">
        <v>41</v>
      </c>
      <c r="B18" s="6" t="s">
        <v>49</v>
      </c>
      <c r="C18" s="6" t="s">
        <v>50</v>
      </c>
      <c r="D18" s="6" t="s">
        <v>17</v>
      </c>
      <c r="E18" s="6" t="s">
        <v>35</v>
      </c>
      <c r="F18" s="7">
        <v>42693</v>
      </c>
      <c r="G18" s="8">
        <f t="shared" si="0"/>
        <v>2016</v>
      </c>
      <c r="H18" s="9">
        <v>419123971</v>
      </c>
      <c r="I18" s="7">
        <v>42722</v>
      </c>
      <c r="J18" s="10">
        <v>6952</v>
      </c>
      <c r="K18" s="9">
        <v>437.2</v>
      </c>
      <c r="L18" s="9">
        <v>263.33</v>
      </c>
      <c r="M18" s="11">
        <v>3039414.4</v>
      </c>
      <c r="N18" s="11">
        <v>1830670.16</v>
      </c>
      <c r="O18" s="11">
        <v>1208744.24</v>
      </c>
      <c r="S18" s="8">
        <v>2011</v>
      </c>
      <c r="T18" s="18">
        <f>SUMIF($G$2:$G$101,S18,$M$2:$M$101)</f>
        <v>11129166.07</v>
      </c>
    </row>
    <row r="19" spans="1:28" x14ac:dyDescent="0.25">
      <c r="A19" s="6" t="s">
        <v>28</v>
      </c>
      <c r="B19" s="6" t="s">
        <v>51</v>
      </c>
      <c r="C19" s="6" t="s">
        <v>52</v>
      </c>
      <c r="D19" s="6" t="s">
        <v>17</v>
      </c>
      <c r="E19" s="6" t="s">
        <v>23</v>
      </c>
      <c r="F19" s="7">
        <v>42095</v>
      </c>
      <c r="G19" s="8">
        <f t="shared" si="0"/>
        <v>2015</v>
      </c>
      <c r="H19" s="9">
        <v>519820964</v>
      </c>
      <c r="I19" s="7">
        <v>42112</v>
      </c>
      <c r="J19" s="10">
        <v>5430</v>
      </c>
      <c r="K19" s="9">
        <v>47.45</v>
      </c>
      <c r="L19" s="9">
        <v>31.79</v>
      </c>
      <c r="M19" s="11">
        <v>257653.5</v>
      </c>
      <c r="N19" s="11">
        <v>172619.7</v>
      </c>
      <c r="O19" s="11">
        <v>85033.8</v>
      </c>
      <c r="S19" s="8">
        <v>2012</v>
      </c>
      <c r="T19" s="18">
        <f t="shared" ref="T19:T24" si="2">SUMIF($G$2:$G$101,S19,$M$2:$M$101)</f>
        <v>31898644.52</v>
      </c>
    </row>
    <row r="20" spans="1:28" x14ac:dyDescent="0.25">
      <c r="A20" s="6" t="s">
        <v>41</v>
      </c>
      <c r="B20" s="6" t="s">
        <v>53</v>
      </c>
      <c r="C20" s="6" t="s">
        <v>34</v>
      </c>
      <c r="D20" s="6" t="s">
        <v>17</v>
      </c>
      <c r="E20" s="6" t="s">
        <v>27</v>
      </c>
      <c r="F20" s="7">
        <v>40542</v>
      </c>
      <c r="G20" s="8">
        <f t="shared" si="0"/>
        <v>2010</v>
      </c>
      <c r="H20" s="9">
        <v>441619336</v>
      </c>
      <c r="I20" s="7">
        <v>40563</v>
      </c>
      <c r="J20" s="10">
        <v>3830</v>
      </c>
      <c r="K20" s="9">
        <v>668.27</v>
      </c>
      <c r="L20" s="9">
        <v>502.54</v>
      </c>
      <c r="M20" s="11">
        <v>2559474.1</v>
      </c>
      <c r="N20" s="11">
        <v>1924728.2</v>
      </c>
      <c r="O20" s="11">
        <v>634745.9</v>
      </c>
      <c r="S20" s="8">
        <v>2013</v>
      </c>
      <c r="T20" s="18">
        <f t="shared" si="2"/>
        <v>20330448.66</v>
      </c>
    </row>
    <row r="21" spans="1:28" x14ac:dyDescent="0.25">
      <c r="A21" s="6" t="s">
        <v>14</v>
      </c>
      <c r="B21" s="6" t="s">
        <v>54</v>
      </c>
      <c r="C21" s="6" t="s">
        <v>55</v>
      </c>
      <c r="D21" s="6" t="s">
        <v>22</v>
      </c>
      <c r="E21" s="6" t="s">
        <v>27</v>
      </c>
      <c r="F21" s="7">
        <v>41121</v>
      </c>
      <c r="G21" s="8">
        <f t="shared" si="0"/>
        <v>2012</v>
      </c>
      <c r="H21" s="9">
        <v>322067916</v>
      </c>
      <c r="I21" s="7">
        <v>41163</v>
      </c>
      <c r="J21" s="10">
        <v>5908</v>
      </c>
      <c r="K21" s="9">
        <v>421.89</v>
      </c>
      <c r="L21" s="9">
        <v>364.69</v>
      </c>
      <c r="M21" s="11">
        <v>2492526.12</v>
      </c>
      <c r="N21" s="11">
        <v>2154588.52</v>
      </c>
      <c r="O21" s="11">
        <v>337937.6</v>
      </c>
      <c r="S21" s="8">
        <v>2014</v>
      </c>
      <c r="T21" s="18">
        <f t="shared" si="2"/>
        <v>16630214.430000002</v>
      </c>
    </row>
    <row r="22" spans="1:28" x14ac:dyDescent="0.25">
      <c r="A22" s="6" t="s">
        <v>24</v>
      </c>
      <c r="B22" s="6" t="s">
        <v>56</v>
      </c>
      <c r="C22" s="6" t="s">
        <v>16</v>
      </c>
      <c r="D22" s="6" t="s">
        <v>22</v>
      </c>
      <c r="E22" s="6" t="s">
        <v>27</v>
      </c>
      <c r="F22" s="7">
        <v>41773</v>
      </c>
      <c r="G22" s="8">
        <f t="shared" si="0"/>
        <v>2014</v>
      </c>
      <c r="H22" s="9">
        <v>819028031</v>
      </c>
      <c r="I22" s="7">
        <v>41818</v>
      </c>
      <c r="J22" s="10">
        <v>7450</v>
      </c>
      <c r="K22" s="9">
        <v>255.28</v>
      </c>
      <c r="L22" s="9">
        <v>159.41999999999999</v>
      </c>
      <c r="M22" s="11">
        <v>1901836</v>
      </c>
      <c r="N22" s="11">
        <v>1187679</v>
      </c>
      <c r="O22" s="11">
        <v>714157</v>
      </c>
      <c r="S22" s="8">
        <v>2015</v>
      </c>
      <c r="T22" s="18">
        <f t="shared" si="2"/>
        <v>12427982.860000001</v>
      </c>
    </row>
    <row r="23" spans="1:28" x14ac:dyDescent="0.25">
      <c r="A23" s="6" t="s">
        <v>24</v>
      </c>
      <c r="B23" s="6" t="s">
        <v>57</v>
      </c>
      <c r="C23" s="6" t="s">
        <v>16</v>
      </c>
      <c r="D23" s="6" t="s">
        <v>22</v>
      </c>
      <c r="E23" s="6" t="s">
        <v>18</v>
      </c>
      <c r="F23" s="7">
        <v>42216</v>
      </c>
      <c r="G23" s="8">
        <f t="shared" si="0"/>
        <v>2015</v>
      </c>
      <c r="H23" s="9">
        <v>860673511</v>
      </c>
      <c r="I23" s="7">
        <v>42250</v>
      </c>
      <c r="J23" s="10">
        <v>1273</v>
      </c>
      <c r="K23" s="9">
        <v>255.28</v>
      </c>
      <c r="L23" s="9">
        <v>159.41999999999999</v>
      </c>
      <c r="M23" s="11">
        <v>324971.44</v>
      </c>
      <c r="N23" s="11">
        <v>202941.66</v>
      </c>
      <c r="O23" s="11">
        <v>122029.78</v>
      </c>
      <c r="S23" s="8">
        <v>2016</v>
      </c>
      <c r="T23" s="18">
        <f t="shared" si="2"/>
        <v>12372867.219999999</v>
      </c>
    </row>
    <row r="24" spans="1:28" x14ac:dyDescent="0.25">
      <c r="A24" s="6" t="s">
        <v>19</v>
      </c>
      <c r="B24" s="6" t="s">
        <v>46</v>
      </c>
      <c r="C24" s="6" t="s">
        <v>58</v>
      </c>
      <c r="D24" s="6" t="s">
        <v>22</v>
      </c>
      <c r="E24" s="6" t="s">
        <v>27</v>
      </c>
      <c r="F24" s="7">
        <v>42551</v>
      </c>
      <c r="G24" s="8">
        <f t="shared" si="0"/>
        <v>2016</v>
      </c>
      <c r="H24" s="9">
        <v>795490682</v>
      </c>
      <c r="I24" s="7">
        <v>42577</v>
      </c>
      <c r="J24" s="10">
        <v>2225</v>
      </c>
      <c r="K24" s="9">
        <v>152.58000000000001</v>
      </c>
      <c r="L24" s="9">
        <v>97.44</v>
      </c>
      <c r="M24" s="11">
        <v>339490.5</v>
      </c>
      <c r="N24" s="11">
        <v>216804</v>
      </c>
      <c r="O24" s="11">
        <v>122686.5</v>
      </c>
      <c r="S24" s="8">
        <v>2017</v>
      </c>
      <c r="T24" s="18">
        <f t="shared" si="2"/>
        <v>13373419.629999999</v>
      </c>
    </row>
    <row r="25" spans="1:28" x14ac:dyDescent="0.25">
      <c r="A25" s="6" t="s">
        <v>14</v>
      </c>
      <c r="B25" s="6" t="s">
        <v>59</v>
      </c>
      <c r="C25" s="6" t="s">
        <v>30</v>
      </c>
      <c r="D25" s="6" t="s">
        <v>22</v>
      </c>
      <c r="E25" s="6" t="s">
        <v>18</v>
      </c>
      <c r="F25" s="7">
        <v>41890</v>
      </c>
      <c r="G25" s="8">
        <f t="shared" si="0"/>
        <v>2014</v>
      </c>
      <c r="H25" s="9">
        <v>142278373</v>
      </c>
      <c r="I25" s="7">
        <v>41916</v>
      </c>
      <c r="J25" s="10">
        <v>2187</v>
      </c>
      <c r="K25" s="9">
        <v>9.33</v>
      </c>
      <c r="L25" s="9">
        <v>6.92</v>
      </c>
      <c r="M25" s="11">
        <v>20404.71</v>
      </c>
      <c r="N25" s="11">
        <v>15134.04</v>
      </c>
      <c r="O25" s="11">
        <v>5270.67</v>
      </c>
      <c r="S25" s="6"/>
      <c r="T25" s="17">
        <f>SUM(T17:T24)</f>
        <v>137348768.31</v>
      </c>
    </row>
    <row r="26" spans="1:28" x14ac:dyDescent="0.25">
      <c r="A26" s="6" t="s">
        <v>24</v>
      </c>
      <c r="B26" s="6" t="s">
        <v>60</v>
      </c>
      <c r="C26" s="6" t="s">
        <v>39</v>
      </c>
      <c r="D26" s="6" t="s">
        <v>22</v>
      </c>
      <c r="E26" s="6" t="s">
        <v>27</v>
      </c>
      <c r="F26" s="7">
        <v>42497</v>
      </c>
      <c r="G26" s="8">
        <f t="shared" si="0"/>
        <v>2016</v>
      </c>
      <c r="H26" s="9">
        <v>740147912</v>
      </c>
      <c r="I26" s="7">
        <v>42500</v>
      </c>
      <c r="J26" s="10">
        <v>5070</v>
      </c>
      <c r="K26" s="9">
        <v>81.73</v>
      </c>
      <c r="L26" s="9">
        <v>56.67</v>
      </c>
      <c r="M26" s="11">
        <v>414371.1</v>
      </c>
      <c r="N26" s="11">
        <v>287316.90000000002</v>
      </c>
      <c r="O26" s="11">
        <v>127054.2</v>
      </c>
    </row>
    <row r="27" spans="1:28" x14ac:dyDescent="0.25">
      <c r="A27" s="6" t="s">
        <v>24</v>
      </c>
      <c r="B27" s="6" t="s">
        <v>61</v>
      </c>
      <c r="C27" s="6" t="s">
        <v>50</v>
      </c>
      <c r="D27" s="6" t="s">
        <v>22</v>
      </c>
      <c r="E27" s="6" t="s">
        <v>18</v>
      </c>
      <c r="F27" s="7">
        <v>42877</v>
      </c>
      <c r="G27" s="8">
        <f t="shared" si="0"/>
        <v>2017</v>
      </c>
      <c r="H27" s="9">
        <v>898523128</v>
      </c>
      <c r="I27" s="7">
        <v>42891</v>
      </c>
      <c r="J27" s="10">
        <v>1815</v>
      </c>
      <c r="K27" s="9">
        <v>437.2</v>
      </c>
      <c r="L27" s="9">
        <v>263.33</v>
      </c>
      <c r="M27" s="11">
        <v>793518</v>
      </c>
      <c r="N27" s="11">
        <v>477943.95</v>
      </c>
      <c r="O27" s="11">
        <v>315574.05</v>
      </c>
      <c r="S27" s="68" t="s">
        <v>135</v>
      </c>
      <c r="T27" s="68"/>
      <c r="U27" s="68"/>
      <c r="V27" s="68"/>
      <c r="W27" s="68"/>
      <c r="X27" s="68"/>
      <c r="Y27" s="68"/>
      <c r="Z27" s="68"/>
      <c r="AA27" s="68"/>
    </row>
    <row r="28" spans="1:28" x14ac:dyDescent="0.25">
      <c r="A28" s="6" t="s">
        <v>14</v>
      </c>
      <c r="B28" s="6" t="s">
        <v>62</v>
      </c>
      <c r="C28" s="6" t="s">
        <v>30</v>
      </c>
      <c r="D28" s="6" t="s">
        <v>22</v>
      </c>
      <c r="E28" s="6" t="s">
        <v>35</v>
      </c>
      <c r="F28" s="7">
        <v>41925</v>
      </c>
      <c r="G28" s="8">
        <f t="shared" si="0"/>
        <v>2014</v>
      </c>
      <c r="H28" s="9">
        <v>347140347</v>
      </c>
      <c r="I28" s="7">
        <v>41953</v>
      </c>
      <c r="J28" s="10">
        <v>5398</v>
      </c>
      <c r="K28" s="9">
        <v>9.33</v>
      </c>
      <c r="L28" s="9">
        <v>6.92</v>
      </c>
      <c r="M28" s="11">
        <v>50363.34</v>
      </c>
      <c r="N28" s="11">
        <v>37354.160000000003</v>
      </c>
      <c r="O28" s="11">
        <v>13009.18</v>
      </c>
      <c r="S28" s="12" t="s">
        <v>138</v>
      </c>
      <c r="T28" s="20">
        <v>2010</v>
      </c>
      <c r="U28" s="20">
        <v>2011</v>
      </c>
      <c r="V28" s="20">
        <v>2012</v>
      </c>
      <c r="W28" s="20">
        <v>2013</v>
      </c>
      <c r="X28" s="20">
        <v>2014</v>
      </c>
      <c r="Y28" s="20">
        <v>2015</v>
      </c>
      <c r="Z28" s="20">
        <v>2016</v>
      </c>
      <c r="AA28" s="20">
        <v>2017</v>
      </c>
      <c r="AB28" s="40" t="s">
        <v>145</v>
      </c>
    </row>
    <row r="29" spans="1:28" x14ac:dyDescent="0.25">
      <c r="A29" s="6" t="s">
        <v>28</v>
      </c>
      <c r="B29" s="6" t="s">
        <v>63</v>
      </c>
      <c r="C29" s="6" t="s">
        <v>30</v>
      </c>
      <c r="D29" s="6" t="s">
        <v>22</v>
      </c>
      <c r="E29" s="6" t="s">
        <v>27</v>
      </c>
      <c r="F29" s="7">
        <v>40305</v>
      </c>
      <c r="G29" s="8">
        <f t="shared" si="0"/>
        <v>2010</v>
      </c>
      <c r="H29" s="9">
        <v>686048400</v>
      </c>
      <c r="I29" s="7">
        <v>40308</v>
      </c>
      <c r="J29" s="10">
        <v>5822</v>
      </c>
      <c r="K29" s="9">
        <v>9.33</v>
      </c>
      <c r="L29" s="9">
        <v>6.92</v>
      </c>
      <c r="M29" s="11">
        <v>54319.26</v>
      </c>
      <c r="N29" s="11">
        <v>40288.239999999998</v>
      </c>
      <c r="O29" s="11">
        <v>14031.02</v>
      </c>
      <c r="S29" s="30" t="s">
        <v>16</v>
      </c>
      <c r="T29" s="21">
        <f>SUMIFS($J$2:$J$101,$C$2:$C$101,S29,$G$2:$G$101,$T28)</f>
        <v>9925</v>
      </c>
      <c r="U29" s="21">
        <f>SUMIFS($J$2:$J$101,$C$2:$C$101,S29,$G$2:$G$101,$U$28)</f>
        <v>0</v>
      </c>
      <c r="V29" s="21">
        <f>SUMIFS($J$2:$J$101,$C$2:$C$101,S29,$G$2:$G$101,$V$28)</f>
        <v>8614</v>
      </c>
      <c r="W29" s="21">
        <f>SUMIFS($J$2:$J$101,$C$2:$C$101,S29,$G$2:$G$101,$W$28)</f>
        <v>4750</v>
      </c>
      <c r="X29" s="21">
        <f>SUMIFS($J$2:$J$101,$C$2:$C$101,S29,$G$2:$G$101,$X$28)</f>
        <v>13009</v>
      </c>
      <c r="Y29" s="21">
        <f>SUMIFS($J$2:$J$101,$C$2:$C$101,S29,$G$2:$G$101,$Y$28)</f>
        <v>4247</v>
      </c>
      <c r="Z29" s="21">
        <f>SUMIFS($J$2:$J$101,$C$2:$C$101,S29,$G$2:$G$101,$Z$28)</f>
        <v>0</v>
      </c>
      <c r="AA29" s="21">
        <f>SUMIFS($J$2:$J$101,$C$2:$C$101,S29,$G$2:$G$101,$AA$28)</f>
        <v>0</v>
      </c>
      <c r="AB29" s="11">
        <f>SUM(T29:AA29)</f>
        <v>40545</v>
      </c>
    </row>
    <row r="30" spans="1:28" x14ac:dyDescent="0.25">
      <c r="A30" s="6" t="s">
        <v>24</v>
      </c>
      <c r="B30" s="6" t="s">
        <v>56</v>
      </c>
      <c r="C30" s="6" t="s">
        <v>52</v>
      </c>
      <c r="D30" s="6" t="s">
        <v>17</v>
      </c>
      <c r="E30" s="6" t="s">
        <v>23</v>
      </c>
      <c r="F30" s="7">
        <v>41838</v>
      </c>
      <c r="G30" s="8">
        <f t="shared" si="0"/>
        <v>2014</v>
      </c>
      <c r="H30" s="9">
        <v>435608613</v>
      </c>
      <c r="I30" s="7">
        <v>41850</v>
      </c>
      <c r="J30" s="10">
        <v>5124</v>
      </c>
      <c r="K30" s="9">
        <v>47.45</v>
      </c>
      <c r="L30" s="9">
        <v>31.79</v>
      </c>
      <c r="M30" s="11">
        <v>243133.8</v>
      </c>
      <c r="N30" s="11">
        <v>162891.96</v>
      </c>
      <c r="O30" s="11">
        <v>80241.84</v>
      </c>
      <c r="S30" s="25" t="s">
        <v>21</v>
      </c>
      <c r="T30" s="10">
        <f>SUMIFS($J$2:$J$101,$C$2:$C$101,S30,$G$2:$G$101,$T$28)</f>
        <v>0</v>
      </c>
      <c r="U30" s="10">
        <f t="shared" ref="U30:U40" si="3">SUMIFS($J$2:$J$101,$C$2:$C$101,S30,$G$2:$G$101,$U$28)</f>
        <v>0</v>
      </c>
      <c r="V30" s="10">
        <f t="shared" ref="V30:V40" si="4">SUMIFS($J$2:$J$101,$C$2:$C$101,S30,$G$2:$G$101,$V$28)</f>
        <v>4921</v>
      </c>
      <c r="W30" s="10">
        <f t="shared" ref="W30:W40" si="5">SUMIFS($J$2:$J$101,$C$2:$C$101,S30,$G$2:$G$101,$W$28)</f>
        <v>4745</v>
      </c>
      <c r="X30" s="10">
        <f t="shared" ref="X30:X40" si="6">SUMIFS($J$2:$J$101,$C$2:$C$101,S30,$G$2:$G$101,$X$28)</f>
        <v>6593</v>
      </c>
      <c r="Y30" s="10">
        <f t="shared" ref="Y30:Y40" si="7">SUMIFS($J$2:$J$101,$C$2:$C$101,S30,$G$2:$G$101,$Y$28)</f>
        <v>0</v>
      </c>
      <c r="Z30" s="10">
        <f t="shared" ref="Z30:Z40" si="8">SUMIFS($J$2:$J$101,$C$2:$C$101,S30,$G$2:$G$101,$Z$28)</f>
        <v>962</v>
      </c>
      <c r="AA30" s="10">
        <f t="shared" ref="AA30:AA40" si="9">SUMIFS($J$2:$J$101,$C$2:$C$101,S30,$G$2:$G$101,$AA$28)</f>
        <v>8656</v>
      </c>
      <c r="AB30" s="11">
        <f t="shared" ref="AB30:AB40" si="10">SUM(T30:AA30)</f>
        <v>25877</v>
      </c>
    </row>
    <row r="31" spans="1:28" x14ac:dyDescent="0.25">
      <c r="A31" s="6" t="s">
        <v>28</v>
      </c>
      <c r="B31" s="6" t="s">
        <v>64</v>
      </c>
      <c r="C31" s="6" t="s">
        <v>34</v>
      </c>
      <c r="D31" s="6" t="s">
        <v>17</v>
      </c>
      <c r="E31" s="6" t="s">
        <v>27</v>
      </c>
      <c r="F31" s="7">
        <v>41055</v>
      </c>
      <c r="G31" s="8">
        <f t="shared" si="0"/>
        <v>2012</v>
      </c>
      <c r="H31" s="9">
        <v>886494815</v>
      </c>
      <c r="I31" s="7">
        <v>41069</v>
      </c>
      <c r="J31" s="10">
        <v>2370</v>
      </c>
      <c r="K31" s="9">
        <v>668.27</v>
      </c>
      <c r="L31" s="9">
        <v>502.54</v>
      </c>
      <c r="M31" s="11">
        <v>1583799.9</v>
      </c>
      <c r="N31" s="11">
        <v>1191019.8</v>
      </c>
      <c r="O31" s="11">
        <v>392780.1</v>
      </c>
      <c r="S31" s="25" t="s">
        <v>26</v>
      </c>
      <c r="T31" s="10">
        <f t="shared" ref="T31:T40" si="11">SUMIFS($J$2:$J$101,$C$2:$C$101,S31,$G$2:$G$101,$T$28)</f>
        <v>8287</v>
      </c>
      <c r="U31" s="10">
        <f t="shared" si="3"/>
        <v>8975</v>
      </c>
      <c r="V31" s="10">
        <f>SUMIFS($J$2:$J$101,$C$2:$C$101,S31,$G$2:$G$101,$V$28)</f>
        <v>13982</v>
      </c>
      <c r="W31" s="10">
        <f t="shared" si="5"/>
        <v>10072</v>
      </c>
      <c r="X31" s="10">
        <f t="shared" si="6"/>
        <v>1779</v>
      </c>
      <c r="Y31" s="10">
        <f t="shared" si="7"/>
        <v>2924</v>
      </c>
      <c r="Z31" s="10">
        <f t="shared" si="8"/>
        <v>948</v>
      </c>
      <c r="AA31" s="10">
        <f t="shared" si="9"/>
        <v>0</v>
      </c>
      <c r="AB31" s="11">
        <f t="shared" si="10"/>
        <v>46967</v>
      </c>
    </row>
    <row r="32" spans="1:28" x14ac:dyDescent="0.25">
      <c r="A32" s="6" t="s">
        <v>24</v>
      </c>
      <c r="B32" s="6" t="s">
        <v>65</v>
      </c>
      <c r="C32" s="6" t="s">
        <v>50</v>
      </c>
      <c r="D32" s="6" t="s">
        <v>17</v>
      </c>
      <c r="E32" s="6" t="s">
        <v>35</v>
      </c>
      <c r="F32" s="7">
        <v>41169</v>
      </c>
      <c r="G32" s="8">
        <f t="shared" si="0"/>
        <v>2012</v>
      </c>
      <c r="H32" s="9">
        <v>249693334</v>
      </c>
      <c r="I32" s="7">
        <v>41202</v>
      </c>
      <c r="J32" s="10">
        <v>8661</v>
      </c>
      <c r="K32" s="9">
        <v>437.2</v>
      </c>
      <c r="L32" s="9">
        <v>263.33</v>
      </c>
      <c r="M32" s="11">
        <v>3786589.2</v>
      </c>
      <c r="N32" s="11">
        <v>2280701.13</v>
      </c>
      <c r="O32" s="11">
        <v>1505888.07</v>
      </c>
      <c r="S32" s="25" t="s">
        <v>30</v>
      </c>
      <c r="T32" s="10">
        <f t="shared" si="11"/>
        <v>5822</v>
      </c>
      <c r="U32" s="10">
        <f t="shared" si="3"/>
        <v>10051</v>
      </c>
      <c r="V32" s="10">
        <f t="shared" si="4"/>
        <v>522</v>
      </c>
      <c r="W32" s="10">
        <f t="shared" si="5"/>
        <v>17243</v>
      </c>
      <c r="X32" s="10">
        <f t="shared" si="6"/>
        <v>15687</v>
      </c>
      <c r="Y32" s="10">
        <f t="shared" si="7"/>
        <v>673</v>
      </c>
      <c r="Z32" s="10">
        <f t="shared" si="8"/>
        <v>0</v>
      </c>
      <c r="AA32" s="10">
        <f t="shared" si="9"/>
        <v>0</v>
      </c>
      <c r="AB32" s="11">
        <f t="shared" si="10"/>
        <v>49998</v>
      </c>
    </row>
    <row r="33" spans="1:28" x14ac:dyDescent="0.25">
      <c r="A33" s="6" t="s">
        <v>28</v>
      </c>
      <c r="B33" s="6" t="s">
        <v>66</v>
      </c>
      <c r="C33" s="6" t="s">
        <v>39</v>
      </c>
      <c r="D33" s="6" t="s">
        <v>17</v>
      </c>
      <c r="E33" s="6" t="s">
        <v>23</v>
      </c>
      <c r="F33" s="7">
        <v>41637</v>
      </c>
      <c r="G33" s="8">
        <f t="shared" si="0"/>
        <v>2013</v>
      </c>
      <c r="H33" s="9">
        <v>406502997</v>
      </c>
      <c r="I33" s="7">
        <v>41667</v>
      </c>
      <c r="J33" s="10">
        <v>2125</v>
      </c>
      <c r="K33" s="9">
        <v>81.73</v>
      </c>
      <c r="L33" s="9">
        <v>56.67</v>
      </c>
      <c r="M33" s="11">
        <v>173676.25</v>
      </c>
      <c r="N33" s="11">
        <v>120423.75</v>
      </c>
      <c r="O33" s="11">
        <v>53252.5</v>
      </c>
      <c r="S33" s="25" t="s">
        <v>34</v>
      </c>
      <c r="T33" s="10">
        <f t="shared" si="11"/>
        <v>3830</v>
      </c>
      <c r="U33" s="10">
        <f t="shared" si="3"/>
        <v>4187</v>
      </c>
      <c r="V33" s="10">
        <f t="shared" si="4"/>
        <v>12532</v>
      </c>
      <c r="W33" s="10">
        <f t="shared" si="5"/>
        <v>0</v>
      </c>
      <c r="X33" s="10">
        <f t="shared" si="6"/>
        <v>6954</v>
      </c>
      <c r="Y33" s="10">
        <f t="shared" si="7"/>
        <v>8250</v>
      </c>
      <c r="Z33" s="10">
        <f t="shared" si="8"/>
        <v>0</v>
      </c>
      <c r="AA33" s="10">
        <f t="shared" si="9"/>
        <v>8974</v>
      </c>
      <c r="AB33" s="11">
        <f t="shared" si="10"/>
        <v>44727</v>
      </c>
    </row>
    <row r="34" spans="1:28" x14ac:dyDescent="0.25">
      <c r="A34" s="6" t="s">
        <v>14</v>
      </c>
      <c r="B34" s="6" t="s">
        <v>67</v>
      </c>
      <c r="C34" s="6" t="s">
        <v>26</v>
      </c>
      <c r="D34" s="6" t="s">
        <v>22</v>
      </c>
      <c r="E34" s="6" t="s">
        <v>23</v>
      </c>
      <c r="F34" s="7">
        <v>42304</v>
      </c>
      <c r="G34" s="8">
        <f t="shared" si="0"/>
        <v>2015</v>
      </c>
      <c r="H34" s="9">
        <v>158535134</v>
      </c>
      <c r="I34" s="7">
        <v>42333</v>
      </c>
      <c r="J34" s="10">
        <v>2924</v>
      </c>
      <c r="K34" s="9">
        <v>651.21</v>
      </c>
      <c r="L34" s="9">
        <v>524.96</v>
      </c>
      <c r="M34" s="11">
        <v>1904138.04</v>
      </c>
      <c r="N34" s="11">
        <v>1534983.04</v>
      </c>
      <c r="O34" s="11">
        <v>369155</v>
      </c>
      <c r="S34" s="25" t="s">
        <v>37</v>
      </c>
      <c r="T34" s="10">
        <f t="shared" si="11"/>
        <v>0</v>
      </c>
      <c r="U34" s="10">
        <f t="shared" si="3"/>
        <v>3856</v>
      </c>
      <c r="V34" s="10">
        <f t="shared" si="4"/>
        <v>14710</v>
      </c>
      <c r="W34" s="10">
        <f t="shared" si="5"/>
        <v>0</v>
      </c>
      <c r="X34" s="10">
        <f t="shared" si="6"/>
        <v>0</v>
      </c>
      <c r="Y34" s="10">
        <f t="shared" si="7"/>
        <v>0</v>
      </c>
      <c r="Z34" s="10">
        <f t="shared" si="8"/>
        <v>1485</v>
      </c>
      <c r="AA34" s="10">
        <f t="shared" si="9"/>
        <v>0</v>
      </c>
      <c r="AB34" s="11">
        <f t="shared" si="10"/>
        <v>20051</v>
      </c>
    </row>
    <row r="35" spans="1:28" x14ac:dyDescent="0.25">
      <c r="A35" s="6" t="s">
        <v>41</v>
      </c>
      <c r="B35" s="6" t="s">
        <v>68</v>
      </c>
      <c r="C35" s="6" t="s">
        <v>34</v>
      </c>
      <c r="D35" s="6" t="s">
        <v>17</v>
      </c>
      <c r="E35" s="6" t="s">
        <v>18</v>
      </c>
      <c r="F35" s="7">
        <v>42020</v>
      </c>
      <c r="G35" s="8">
        <f t="shared" si="0"/>
        <v>2015</v>
      </c>
      <c r="H35" s="9">
        <v>177713572</v>
      </c>
      <c r="I35" s="7">
        <v>42064</v>
      </c>
      <c r="J35" s="10">
        <v>8250</v>
      </c>
      <c r="K35" s="9">
        <v>668.27</v>
      </c>
      <c r="L35" s="9">
        <v>502.54</v>
      </c>
      <c r="M35" s="11">
        <v>5513227.5</v>
      </c>
      <c r="N35" s="11">
        <v>4145955</v>
      </c>
      <c r="O35" s="11">
        <v>1367272.5</v>
      </c>
      <c r="S35" s="25" t="s">
        <v>39</v>
      </c>
      <c r="T35" s="10">
        <f t="shared" si="11"/>
        <v>273</v>
      </c>
      <c r="U35" s="10">
        <f t="shared" si="3"/>
        <v>0</v>
      </c>
      <c r="V35" s="10">
        <f t="shared" si="4"/>
        <v>15078</v>
      </c>
      <c r="W35" s="10">
        <f t="shared" si="5"/>
        <v>2125</v>
      </c>
      <c r="X35" s="10">
        <f t="shared" si="6"/>
        <v>4901</v>
      </c>
      <c r="Y35" s="10">
        <f t="shared" si="7"/>
        <v>11837</v>
      </c>
      <c r="Z35" s="10">
        <f t="shared" si="8"/>
        <v>5070</v>
      </c>
      <c r="AA35" s="10">
        <f t="shared" si="9"/>
        <v>9424</v>
      </c>
      <c r="AB35" s="11">
        <f t="shared" si="10"/>
        <v>48708</v>
      </c>
    </row>
    <row r="36" spans="1:28" x14ac:dyDescent="0.25">
      <c r="A36" s="6" t="s">
        <v>28</v>
      </c>
      <c r="B36" s="6" t="s">
        <v>69</v>
      </c>
      <c r="C36" s="6" t="s">
        <v>58</v>
      </c>
      <c r="D36" s="6" t="s">
        <v>22</v>
      </c>
      <c r="E36" s="6" t="s">
        <v>35</v>
      </c>
      <c r="F36" s="7">
        <v>42791</v>
      </c>
      <c r="G36" s="8">
        <f t="shared" si="0"/>
        <v>2017</v>
      </c>
      <c r="H36" s="9">
        <v>756274640</v>
      </c>
      <c r="I36" s="7">
        <v>42791</v>
      </c>
      <c r="J36" s="10">
        <v>7327</v>
      </c>
      <c r="K36" s="9">
        <v>152.58000000000001</v>
      </c>
      <c r="L36" s="9">
        <v>97.44</v>
      </c>
      <c r="M36" s="11">
        <v>1117953.6599999999</v>
      </c>
      <c r="N36" s="11">
        <v>713942.88</v>
      </c>
      <c r="O36" s="11">
        <v>404010.78</v>
      </c>
      <c r="S36" s="25" t="s">
        <v>44</v>
      </c>
      <c r="T36" s="10">
        <f t="shared" si="11"/>
        <v>18290</v>
      </c>
      <c r="U36" s="10">
        <f t="shared" si="3"/>
        <v>888</v>
      </c>
      <c r="V36" s="10">
        <f t="shared" si="4"/>
        <v>13039</v>
      </c>
      <c r="W36" s="10">
        <f t="shared" si="5"/>
        <v>0</v>
      </c>
      <c r="X36" s="10">
        <f t="shared" si="6"/>
        <v>12010</v>
      </c>
      <c r="Y36" s="10">
        <f t="shared" si="7"/>
        <v>13272</v>
      </c>
      <c r="Z36" s="10">
        <f t="shared" si="8"/>
        <v>5498</v>
      </c>
      <c r="AA36" s="10">
        <f t="shared" si="9"/>
        <v>8263</v>
      </c>
      <c r="AB36" s="11">
        <f t="shared" si="10"/>
        <v>71260</v>
      </c>
    </row>
    <row r="37" spans="1:28" x14ac:dyDescent="0.25">
      <c r="A37" s="6" t="s">
        <v>19</v>
      </c>
      <c r="B37" s="6" t="s">
        <v>70</v>
      </c>
      <c r="C37" s="6" t="s">
        <v>39</v>
      </c>
      <c r="D37" s="6" t="s">
        <v>17</v>
      </c>
      <c r="E37" s="6" t="s">
        <v>27</v>
      </c>
      <c r="F37" s="7">
        <v>42863</v>
      </c>
      <c r="G37" s="8">
        <f t="shared" si="0"/>
        <v>2017</v>
      </c>
      <c r="H37" s="9">
        <v>456767165</v>
      </c>
      <c r="I37" s="7">
        <v>42876</v>
      </c>
      <c r="J37" s="10">
        <v>6409</v>
      </c>
      <c r="K37" s="9">
        <v>81.73</v>
      </c>
      <c r="L37" s="9">
        <v>56.67</v>
      </c>
      <c r="M37" s="11">
        <v>523807.57</v>
      </c>
      <c r="N37" s="11">
        <v>363198.03</v>
      </c>
      <c r="O37" s="11">
        <v>160609.54</v>
      </c>
      <c r="S37" s="25" t="s">
        <v>50</v>
      </c>
      <c r="T37" s="10">
        <f t="shared" si="11"/>
        <v>15144</v>
      </c>
      <c r="U37" s="10">
        <f t="shared" si="3"/>
        <v>0</v>
      </c>
      <c r="V37" s="10">
        <f t="shared" si="4"/>
        <v>8661</v>
      </c>
      <c r="W37" s="10">
        <f t="shared" si="5"/>
        <v>25728</v>
      </c>
      <c r="X37" s="10">
        <f t="shared" si="6"/>
        <v>7215</v>
      </c>
      <c r="Y37" s="10">
        <f t="shared" si="7"/>
        <v>2847</v>
      </c>
      <c r="Z37" s="10">
        <f t="shared" si="8"/>
        <v>22308</v>
      </c>
      <c r="AA37" s="10">
        <f t="shared" si="9"/>
        <v>1815</v>
      </c>
      <c r="AB37" s="11">
        <f t="shared" si="10"/>
        <v>83718</v>
      </c>
    </row>
    <row r="38" spans="1:28" x14ac:dyDescent="0.25">
      <c r="A38" s="6" t="s">
        <v>71</v>
      </c>
      <c r="B38" s="6" t="s">
        <v>72</v>
      </c>
      <c r="C38" s="6" t="s">
        <v>30</v>
      </c>
      <c r="D38" s="6" t="s">
        <v>22</v>
      </c>
      <c r="E38" s="6" t="s">
        <v>27</v>
      </c>
      <c r="F38" s="7">
        <v>40869</v>
      </c>
      <c r="G38" s="8">
        <f t="shared" si="0"/>
        <v>2011</v>
      </c>
      <c r="H38" s="9">
        <v>162052476</v>
      </c>
      <c r="I38" s="7">
        <v>40880</v>
      </c>
      <c r="J38" s="10">
        <v>3784</v>
      </c>
      <c r="K38" s="9">
        <v>9.33</v>
      </c>
      <c r="L38" s="9">
        <v>6.92</v>
      </c>
      <c r="M38" s="11">
        <v>35304.720000000001</v>
      </c>
      <c r="N38" s="11">
        <v>26185.279999999999</v>
      </c>
      <c r="O38" s="11">
        <v>9119.44</v>
      </c>
      <c r="S38" s="25" t="s">
        <v>52</v>
      </c>
      <c r="T38" s="10">
        <f t="shared" si="11"/>
        <v>0</v>
      </c>
      <c r="U38" s="10">
        <f t="shared" si="3"/>
        <v>22726</v>
      </c>
      <c r="V38" s="10">
        <f t="shared" si="4"/>
        <v>0</v>
      </c>
      <c r="W38" s="10">
        <f t="shared" si="5"/>
        <v>0</v>
      </c>
      <c r="X38" s="10">
        <f t="shared" si="6"/>
        <v>23892</v>
      </c>
      <c r="Y38" s="10">
        <f t="shared" si="7"/>
        <v>5430</v>
      </c>
      <c r="Z38" s="10">
        <f t="shared" si="8"/>
        <v>4660</v>
      </c>
      <c r="AA38" s="10">
        <f t="shared" si="9"/>
        <v>0</v>
      </c>
      <c r="AB38" s="11">
        <f t="shared" si="10"/>
        <v>56708</v>
      </c>
    </row>
    <row r="39" spans="1:28" x14ac:dyDescent="0.25">
      <c r="A39" s="6" t="s">
        <v>28</v>
      </c>
      <c r="B39" s="6" t="s">
        <v>64</v>
      </c>
      <c r="C39" s="6" t="s">
        <v>55</v>
      </c>
      <c r="D39" s="6" t="s">
        <v>22</v>
      </c>
      <c r="E39" s="6" t="s">
        <v>35</v>
      </c>
      <c r="F39" s="7">
        <v>42749</v>
      </c>
      <c r="G39" s="8">
        <f t="shared" si="0"/>
        <v>2017</v>
      </c>
      <c r="H39" s="9">
        <v>825304400</v>
      </c>
      <c r="I39" s="7">
        <v>42758</v>
      </c>
      <c r="J39" s="10">
        <v>4767</v>
      </c>
      <c r="K39" s="9">
        <v>421.89</v>
      </c>
      <c r="L39" s="9">
        <v>364.69</v>
      </c>
      <c r="M39" s="11">
        <v>2011149.63</v>
      </c>
      <c r="N39" s="11">
        <v>1738477.23</v>
      </c>
      <c r="O39" s="11">
        <v>272672.40000000002</v>
      </c>
      <c r="S39" s="25" t="s">
        <v>55</v>
      </c>
      <c r="T39" s="10">
        <f t="shared" si="11"/>
        <v>0</v>
      </c>
      <c r="U39" s="10">
        <f t="shared" si="3"/>
        <v>0</v>
      </c>
      <c r="V39" s="10">
        <f t="shared" si="4"/>
        <v>5908</v>
      </c>
      <c r="W39" s="10">
        <f t="shared" si="5"/>
        <v>0</v>
      </c>
      <c r="X39" s="10">
        <f t="shared" si="6"/>
        <v>0</v>
      </c>
      <c r="Y39" s="10">
        <f t="shared" si="7"/>
        <v>0</v>
      </c>
      <c r="Z39" s="10">
        <f t="shared" si="8"/>
        <v>0</v>
      </c>
      <c r="AA39" s="10">
        <f t="shared" si="9"/>
        <v>4767</v>
      </c>
      <c r="AB39" s="11">
        <f t="shared" si="10"/>
        <v>10675</v>
      </c>
    </row>
    <row r="40" spans="1:28" x14ac:dyDescent="0.25">
      <c r="A40" s="6" t="s">
        <v>41</v>
      </c>
      <c r="B40" s="6" t="s">
        <v>73</v>
      </c>
      <c r="C40" s="6" t="s">
        <v>26</v>
      </c>
      <c r="D40" s="6" t="s">
        <v>22</v>
      </c>
      <c r="E40" s="6" t="s">
        <v>27</v>
      </c>
      <c r="F40" s="7">
        <v>41000</v>
      </c>
      <c r="G40" s="8">
        <f t="shared" si="0"/>
        <v>2012</v>
      </c>
      <c r="H40" s="9">
        <v>320009267</v>
      </c>
      <c r="I40" s="7">
        <v>41037</v>
      </c>
      <c r="J40" s="10">
        <v>6708</v>
      </c>
      <c r="K40" s="9">
        <v>651.21</v>
      </c>
      <c r="L40" s="9">
        <v>524.96</v>
      </c>
      <c r="M40" s="11">
        <v>4368316.68</v>
      </c>
      <c r="N40" s="11">
        <v>3521431.68</v>
      </c>
      <c r="O40" s="11">
        <v>846885</v>
      </c>
      <c r="S40" s="25" t="s">
        <v>58</v>
      </c>
      <c r="T40" s="10">
        <f t="shared" si="11"/>
        <v>0</v>
      </c>
      <c r="U40" s="10">
        <f t="shared" si="3"/>
        <v>4085</v>
      </c>
      <c r="V40" s="10">
        <f t="shared" si="4"/>
        <v>0</v>
      </c>
      <c r="W40" s="10">
        <f t="shared" si="5"/>
        <v>0</v>
      </c>
      <c r="X40" s="10">
        <f t="shared" si="6"/>
        <v>0</v>
      </c>
      <c r="Y40" s="10">
        <f t="shared" si="7"/>
        <v>0</v>
      </c>
      <c r="Z40" s="10">
        <f t="shared" si="8"/>
        <v>2225</v>
      </c>
      <c r="AA40" s="10">
        <f t="shared" si="9"/>
        <v>7327</v>
      </c>
      <c r="AB40" s="11">
        <f t="shared" si="10"/>
        <v>13637</v>
      </c>
    </row>
    <row r="41" spans="1:28" x14ac:dyDescent="0.25">
      <c r="A41" s="6" t="s">
        <v>24</v>
      </c>
      <c r="B41" s="6" t="s">
        <v>48</v>
      </c>
      <c r="C41" s="6" t="s">
        <v>26</v>
      </c>
      <c r="D41" s="6" t="s">
        <v>22</v>
      </c>
      <c r="E41" s="6" t="s">
        <v>35</v>
      </c>
      <c r="F41" s="7">
        <v>40955</v>
      </c>
      <c r="G41" s="8">
        <f t="shared" si="0"/>
        <v>2012</v>
      </c>
      <c r="H41" s="9">
        <v>189965903</v>
      </c>
      <c r="I41" s="7">
        <v>40967</v>
      </c>
      <c r="J41" s="10">
        <v>3987</v>
      </c>
      <c r="K41" s="9">
        <v>651.21</v>
      </c>
      <c r="L41" s="9">
        <v>524.96</v>
      </c>
      <c r="M41" s="11">
        <v>2596374.27</v>
      </c>
      <c r="N41" s="11">
        <v>2093015.52</v>
      </c>
      <c r="O41" s="11">
        <v>503358.75</v>
      </c>
      <c r="S41" s="22" t="s">
        <v>145</v>
      </c>
      <c r="T41" s="16">
        <f>SUM(T29:T40)</f>
        <v>61571</v>
      </c>
      <c r="U41" s="16">
        <f t="shared" ref="U41:AA41" si="12">SUM(U29:U40)</f>
        <v>54768</v>
      </c>
      <c r="V41" s="16">
        <f t="shared" si="12"/>
        <v>97967</v>
      </c>
      <c r="W41" s="16">
        <f t="shared" si="12"/>
        <v>64663</v>
      </c>
      <c r="X41" s="16">
        <f t="shared" si="12"/>
        <v>92040</v>
      </c>
      <c r="Y41" s="16">
        <f t="shared" si="12"/>
        <v>49480</v>
      </c>
      <c r="Z41" s="16">
        <f t="shared" si="12"/>
        <v>43156</v>
      </c>
      <c r="AA41" s="16">
        <f t="shared" si="12"/>
        <v>49226</v>
      </c>
      <c r="AB41" s="39">
        <f>SUM(AB29:AB40)</f>
        <v>512871</v>
      </c>
    </row>
    <row r="42" spans="1:28" x14ac:dyDescent="0.25">
      <c r="A42" s="6" t="s">
        <v>28</v>
      </c>
      <c r="B42" s="6" t="s">
        <v>74</v>
      </c>
      <c r="C42" s="6" t="s">
        <v>39</v>
      </c>
      <c r="D42" s="6" t="s">
        <v>22</v>
      </c>
      <c r="E42" s="6" t="s">
        <v>18</v>
      </c>
      <c r="F42" s="7">
        <v>42805</v>
      </c>
      <c r="G42" s="8">
        <f t="shared" si="0"/>
        <v>2017</v>
      </c>
      <c r="H42" s="9">
        <v>699285638</v>
      </c>
      <c r="I42" s="7">
        <v>42822</v>
      </c>
      <c r="J42" s="10">
        <v>3015</v>
      </c>
      <c r="K42" s="9">
        <v>81.73</v>
      </c>
      <c r="L42" s="9">
        <v>56.67</v>
      </c>
      <c r="M42" s="11">
        <v>246415.95</v>
      </c>
      <c r="N42" s="11">
        <v>170860.05</v>
      </c>
      <c r="O42" s="11">
        <v>75555.899999999994</v>
      </c>
    </row>
    <row r="43" spans="1:28" x14ac:dyDescent="0.25">
      <c r="A43" s="6" t="s">
        <v>71</v>
      </c>
      <c r="B43" s="6" t="s">
        <v>75</v>
      </c>
      <c r="C43" s="6" t="s">
        <v>50</v>
      </c>
      <c r="D43" s="6" t="s">
        <v>22</v>
      </c>
      <c r="E43" s="6" t="s">
        <v>35</v>
      </c>
      <c r="F43" s="7">
        <v>40215</v>
      </c>
      <c r="G43" s="8">
        <f t="shared" si="0"/>
        <v>2010</v>
      </c>
      <c r="H43" s="9">
        <v>382392299</v>
      </c>
      <c r="I43" s="7">
        <v>40234</v>
      </c>
      <c r="J43" s="10">
        <v>7234</v>
      </c>
      <c r="K43" s="9">
        <v>437.2</v>
      </c>
      <c r="L43" s="9">
        <v>263.33</v>
      </c>
      <c r="M43" s="11">
        <v>3162704.8</v>
      </c>
      <c r="N43" s="11">
        <v>1904929.22</v>
      </c>
      <c r="O43" s="11">
        <v>1257775.58</v>
      </c>
      <c r="S43" s="70" t="s">
        <v>136</v>
      </c>
      <c r="T43" s="70"/>
      <c r="U43" s="70"/>
    </row>
    <row r="44" spans="1:28" x14ac:dyDescent="0.25">
      <c r="A44" s="6" t="s">
        <v>28</v>
      </c>
      <c r="B44" s="6" t="s">
        <v>64</v>
      </c>
      <c r="C44" s="6" t="s">
        <v>21</v>
      </c>
      <c r="D44" s="6" t="s">
        <v>17</v>
      </c>
      <c r="E44" s="6" t="s">
        <v>18</v>
      </c>
      <c r="F44" s="7">
        <v>41067</v>
      </c>
      <c r="G44" s="8">
        <f t="shared" si="0"/>
        <v>2012</v>
      </c>
      <c r="H44" s="9">
        <v>994022214</v>
      </c>
      <c r="I44" s="7">
        <v>41068</v>
      </c>
      <c r="J44" s="10">
        <v>2117</v>
      </c>
      <c r="K44" s="9">
        <v>205.7</v>
      </c>
      <c r="L44" s="9">
        <v>117.11</v>
      </c>
      <c r="M44" s="11">
        <v>435466.9</v>
      </c>
      <c r="N44" s="11">
        <v>247921.87</v>
      </c>
      <c r="O44" s="11">
        <v>187545.03</v>
      </c>
      <c r="S44" s="12" t="s">
        <v>124</v>
      </c>
      <c r="T44" s="19" t="s">
        <v>126</v>
      </c>
      <c r="U44" s="19" t="s">
        <v>128</v>
      </c>
    </row>
    <row r="45" spans="1:28" x14ac:dyDescent="0.25">
      <c r="A45" s="6" t="s">
        <v>24</v>
      </c>
      <c r="B45" s="6" t="s">
        <v>76</v>
      </c>
      <c r="C45" s="6" t="s">
        <v>37</v>
      </c>
      <c r="D45" s="6" t="s">
        <v>22</v>
      </c>
      <c r="E45" s="6" t="s">
        <v>18</v>
      </c>
      <c r="F45" s="7">
        <v>41188</v>
      </c>
      <c r="G45" s="8">
        <f t="shared" si="0"/>
        <v>2012</v>
      </c>
      <c r="H45" s="9">
        <v>759224212</v>
      </c>
      <c r="I45" s="7">
        <v>41223</v>
      </c>
      <c r="J45" s="10">
        <v>171</v>
      </c>
      <c r="K45" s="9">
        <v>154.06</v>
      </c>
      <c r="L45" s="9">
        <v>90.93</v>
      </c>
      <c r="M45" s="11">
        <v>26344.26</v>
      </c>
      <c r="N45" s="11">
        <v>15549.03</v>
      </c>
      <c r="O45" s="11">
        <v>10795.23</v>
      </c>
      <c r="S45" s="6" t="s">
        <v>41</v>
      </c>
      <c r="T45" s="11">
        <f>SUMIF($A$2:$A$101,S45,$M$2:$M$101)</f>
        <v>21347091.020000003</v>
      </c>
      <c r="U45" s="23">
        <f>(T45/$T$52)*100</f>
        <v>15.542251512455522</v>
      </c>
    </row>
    <row r="46" spans="1:28" x14ac:dyDescent="0.25">
      <c r="A46" s="6" t="s">
        <v>41</v>
      </c>
      <c r="B46" s="6" t="s">
        <v>68</v>
      </c>
      <c r="C46" s="6" t="s">
        <v>44</v>
      </c>
      <c r="D46" s="6" t="s">
        <v>22</v>
      </c>
      <c r="E46" s="6" t="s">
        <v>18</v>
      </c>
      <c r="F46" s="7">
        <v>42322</v>
      </c>
      <c r="G46" s="8">
        <f t="shared" si="0"/>
        <v>2015</v>
      </c>
      <c r="H46" s="9">
        <v>223359620</v>
      </c>
      <c r="I46" s="7">
        <v>42326</v>
      </c>
      <c r="J46" s="10">
        <v>5930</v>
      </c>
      <c r="K46" s="9">
        <v>109.28</v>
      </c>
      <c r="L46" s="9">
        <v>35.840000000000003</v>
      </c>
      <c r="M46" s="11">
        <v>648030.4</v>
      </c>
      <c r="N46" s="11">
        <v>212531.20000000001</v>
      </c>
      <c r="O46" s="11">
        <v>435499.2</v>
      </c>
      <c r="S46" s="6" t="s">
        <v>14</v>
      </c>
      <c r="T46" s="11">
        <f t="shared" ref="T46:T51" si="13">SUMIF($A$2:$A$101,S46,$M$2:$M$101)</f>
        <v>14094265.130000003</v>
      </c>
      <c r="U46" s="23">
        <f t="shared" ref="U46:U51" si="14">(T46/$T$52)*100</f>
        <v>10.261661100730699</v>
      </c>
    </row>
    <row r="47" spans="1:28" x14ac:dyDescent="0.25">
      <c r="A47" s="6" t="s">
        <v>28</v>
      </c>
      <c r="B47" s="6" t="s">
        <v>77</v>
      </c>
      <c r="C47" s="6" t="s">
        <v>21</v>
      </c>
      <c r="D47" s="6" t="s">
        <v>17</v>
      </c>
      <c r="E47" s="6" t="s">
        <v>18</v>
      </c>
      <c r="F47" s="7">
        <v>42458</v>
      </c>
      <c r="G47" s="8">
        <f t="shared" si="0"/>
        <v>2016</v>
      </c>
      <c r="H47" s="9">
        <v>902102267</v>
      </c>
      <c r="I47" s="7">
        <v>42489</v>
      </c>
      <c r="J47" s="10">
        <v>962</v>
      </c>
      <c r="K47" s="9">
        <v>205.7</v>
      </c>
      <c r="L47" s="9">
        <v>117.11</v>
      </c>
      <c r="M47" s="11">
        <v>197883.4</v>
      </c>
      <c r="N47" s="11">
        <v>112659.82</v>
      </c>
      <c r="O47" s="11">
        <v>85223.58</v>
      </c>
      <c r="S47" s="6" t="s">
        <v>19</v>
      </c>
      <c r="T47" s="11">
        <f t="shared" si="13"/>
        <v>9170385.4900000002</v>
      </c>
      <c r="U47" s="23">
        <f t="shared" si="14"/>
        <v>6.6767147625977863</v>
      </c>
    </row>
    <row r="48" spans="1:28" x14ac:dyDescent="0.25">
      <c r="A48" s="6" t="s">
        <v>24</v>
      </c>
      <c r="B48" s="6" t="s">
        <v>78</v>
      </c>
      <c r="C48" s="6" t="s">
        <v>50</v>
      </c>
      <c r="D48" s="6" t="s">
        <v>22</v>
      </c>
      <c r="E48" s="6" t="s">
        <v>23</v>
      </c>
      <c r="F48" s="7">
        <v>42735</v>
      </c>
      <c r="G48" s="8">
        <f t="shared" si="0"/>
        <v>2016</v>
      </c>
      <c r="H48" s="9">
        <v>331438481</v>
      </c>
      <c r="I48" s="7">
        <v>42735</v>
      </c>
      <c r="J48" s="10">
        <v>8867</v>
      </c>
      <c r="K48" s="9">
        <v>437.2</v>
      </c>
      <c r="L48" s="9">
        <v>263.33</v>
      </c>
      <c r="M48" s="11">
        <v>3876652.4</v>
      </c>
      <c r="N48" s="11">
        <v>2334947.11</v>
      </c>
      <c r="O48" s="11">
        <v>1541705.29</v>
      </c>
      <c r="S48" s="6" t="s">
        <v>24</v>
      </c>
      <c r="T48" s="11">
        <f t="shared" si="13"/>
        <v>33368932.109999999</v>
      </c>
      <c r="U48" s="23">
        <f t="shared" si="14"/>
        <v>24.295035565725197</v>
      </c>
    </row>
    <row r="49" spans="1:22" x14ac:dyDescent="0.25">
      <c r="A49" s="6" t="s">
        <v>24</v>
      </c>
      <c r="B49" s="6" t="s">
        <v>65</v>
      </c>
      <c r="C49" s="6" t="s">
        <v>39</v>
      </c>
      <c r="D49" s="6" t="s">
        <v>22</v>
      </c>
      <c r="E49" s="6" t="s">
        <v>35</v>
      </c>
      <c r="F49" s="7">
        <v>40535</v>
      </c>
      <c r="G49" s="8">
        <f t="shared" si="0"/>
        <v>2010</v>
      </c>
      <c r="H49" s="9">
        <v>617667090</v>
      </c>
      <c r="I49" s="7">
        <v>40574</v>
      </c>
      <c r="J49" s="10">
        <v>273</v>
      </c>
      <c r="K49" s="9">
        <v>81.73</v>
      </c>
      <c r="L49" s="9">
        <v>56.67</v>
      </c>
      <c r="M49" s="11">
        <v>22312.29</v>
      </c>
      <c r="N49" s="11">
        <v>15470.91</v>
      </c>
      <c r="O49" s="11">
        <v>6841.38</v>
      </c>
      <c r="S49" s="6" t="s">
        <v>71</v>
      </c>
      <c r="T49" s="11">
        <f t="shared" si="13"/>
        <v>14052706.58</v>
      </c>
      <c r="U49" s="23">
        <f t="shared" si="14"/>
        <v>10.231403421312558</v>
      </c>
    </row>
    <row r="50" spans="1:22" x14ac:dyDescent="0.25">
      <c r="A50" s="6" t="s">
        <v>24</v>
      </c>
      <c r="B50" s="6" t="s">
        <v>79</v>
      </c>
      <c r="C50" s="6" t="s">
        <v>44</v>
      </c>
      <c r="D50" s="6" t="s">
        <v>17</v>
      </c>
      <c r="E50" s="6" t="s">
        <v>23</v>
      </c>
      <c r="F50" s="7">
        <v>41926</v>
      </c>
      <c r="G50" s="8">
        <f t="shared" si="0"/>
        <v>2014</v>
      </c>
      <c r="H50" s="9">
        <v>787399423</v>
      </c>
      <c r="I50" s="7">
        <v>41957</v>
      </c>
      <c r="J50" s="10">
        <v>7842</v>
      </c>
      <c r="K50" s="9">
        <v>109.28</v>
      </c>
      <c r="L50" s="9">
        <v>35.840000000000003</v>
      </c>
      <c r="M50" s="11">
        <v>856973.76</v>
      </c>
      <c r="N50" s="11">
        <v>281057.28000000003</v>
      </c>
      <c r="O50" s="11">
        <v>575916.48</v>
      </c>
      <c r="S50" s="6" t="s">
        <v>98</v>
      </c>
      <c r="T50" s="11">
        <f t="shared" si="13"/>
        <v>5643356.5500000007</v>
      </c>
      <c r="U50" s="23">
        <f t="shared" si="14"/>
        <v>4.1087784182110658</v>
      </c>
    </row>
    <row r="51" spans="1:22" x14ac:dyDescent="0.25">
      <c r="A51" s="6" t="s">
        <v>28</v>
      </c>
      <c r="B51" s="6" t="s">
        <v>80</v>
      </c>
      <c r="C51" s="6" t="s">
        <v>26</v>
      </c>
      <c r="D51" s="6" t="s">
        <v>17</v>
      </c>
      <c r="E51" s="6" t="s">
        <v>23</v>
      </c>
      <c r="F51" s="7">
        <v>40919</v>
      </c>
      <c r="G51" s="8">
        <f t="shared" si="0"/>
        <v>2012</v>
      </c>
      <c r="H51" s="9">
        <v>837559306</v>
      </c>
      <c r="I51" s="7">
        <v>40921</v>
      </c>
      <c r="J51" s="10">
        <v>1266</v>
      </c>
      <c r="K51" s="9">
        <v>651.21</v>
      </c>
      <c r="L51" s="9">
        <v>524.96</v>
      </c>
      <c r="M51" s="11">
        <v>824431.86</v>
      </c>
      <c r="N51" s="11">
        <v>664599.36</v>
      </c>
      <c r="O51" s="11">
        <v>159832.5</v>
      </c>
      <c r="S51" s="6" t="s">
        <v>28</v>
      </c>
      <c r="T51" s="11">
        <f t="shared" si="13"/>
        <v>39672031.430000007</v>
      </c>
      <c r="U51" s="23">
        <f t="shared" si="14"/>
        <v>28.884155218967184</v>
      </c>
    </row>
    <row r="52" spans="1:22" x14ac:dyDescent="0.25">
      <c r="A52" s="6" t="s">
        <v>24</v>
      </c>
      <c r="B52" s="6" t="s">
        <v>81</v>
      </c>
      <c r="C52" s="6" t="s">
        <v>44</v>
      </c>
      <c r="D52" s="6" t="s">
        <v>22</v>
      </c>
      <c r="E52" s="6" t="s">
        <v>23</v>
      </c>
      <c r="F52" s="7">
        <v>40211</v>
      </c>
      <c r="G52" s="8">
        <f t="shared" si="0"/>
        <v>2010</v>
      </c>
      <c r="H52" s="9">
        <v>385383069</v>
      </c>
      <c r="I52" s="7">
        <v>40255</v>
      </c>
      <c r="J52" s="10">
        <v>2269</v>
      </c>
      <c r="K52" s="9">
        <v>109.28</v>
      </c>
      <c r="L52" s="9">
        <v>35.840000000000003</v>
      </c>
      <c r="M52" s="11">
        <v>247956.32</v>
      </c>
      <c r="N52" s="11">
        <v>81320.960000000006</v>
      </c>
      <c r="O52" s="11">
        <v>166635.35999999999</v>
      </c>
      <c r="S52" s="12" t="s">
        <v>127</v>
      </c>
      <c r="T52" s="17">
        <f>SUM(T45:T51)</f>
        <v>137348768.31</v>
      </c>
      <c r="U52" s="24">
        <f>SUM(U45:U51)</f>
        <v>100.00000000000001</v>
      </c>
    </row>
    <row r="53" spans="1:22" x14ac:dyDescent="0.25">
      <c r="A53" s="6" t="s">
        <v>28</v>
      </c>
      <c r="B53" s="6" t="s">
        <v>82</v>
      </c>
      <c r="C53" s="6" t="s">
        <v>30</v>
      </c>
      <c r="D53" s="6" t="s">
        <v>22</v>
      </c>
      <c r="E53" s="6" t="s">
        <v>27</v>
      </c>
      <c r="F53" s="7">
        <v>41504</v>
      </c>
      <c r="G53" s="8">
        <f t="shared" si="0"/>
        <v>2013</v>
      </c>
      <c r="H53" s="9">
        <v>918419539</v>
      </c>
      <c r="I53" s="7">
        <v>41535</v>
      </c>
      <c r="J53" s="10">
        <v>9606</v>
      </c>
      <c r="K53" s="9">
        <v>9.33</v>
      </c>
      <c r="L53" s="9">
        <v>6.92</v>
      </c>
      <c r="M53" s="11">
        <v>89623.98</v>
      </c>
      <c r="N53" s="11">
        <v>66473.52</v>
      </c>
      <c r="O53" s="11">
        <v>23150.46</v>
      </c>
    </row>
    <row r="54" spans="1:22" x14ac:dyDescent="0.25">
      <c r="A54" s="6" t="s">
        <v>71</v>
      </c>
      <c r="B54" s="6" t="s">
        <v>83</v>
      </c>
      <c r="C54" s="6" t="s">
        <v>21</v>
      </c>
      <c r="D54" s="6" t="s">
        <v>22</v>
      </c>
      <c r="E54" s="6" t="s">
        <v>35</v>
      </c>
      <c r="F54" s="7">
        <v>41358</v>
      </c>
      <c r="G54" s="8">
        <f t="shared" si="0"/>
        <v>2013</v>
      </c>
      <c r="H54" s="9">
        <v>844530045</v>
      </c>
      <c r="I54" s="7">
        <v>41361</v>
      </c>
      <c r="J54" s="10">
        <v>4063</v>
      </c>
      <c r="K54" s="9">
        <v>205.7</v>
      </c>
      <c r="L54" s="9">
        <v>117.11</v>
      </c>
      <c r="M54" s="11">
        <v>835759.1</v>
      </c>
      <c r="N54" s="11">
        <v>475817.93</v>
      </c>
      <c r="O54" s="11">
        <v>359941.17</v>
      </c>
      <c r="S54" s="69" t="s">
        <v>132</v>
      </c>
      <c r="T54" s="69"/>
      <c r="U54" s="69"/>
      <c r="V54" s="69"/>
    </row>
    <row r="55" spans="1:22" x14ac:dyDescent="0.25">
      <c r="A55" s="6" t="s">
        <v>28</v>
      </c>
      <c r="B55" s="6" t="s">
        <v>84</v>
      </c>
      <c r="C55" s="6" t="s">
        <v>26</v>
      </c>
      <c r="D55" s="6" t="s">
        <v>17</v>
      </c>
      <c r="E55" s="6" t="s">
        <v>35</v>
      </c>
      <c r="F55" s="7">
        <v>40873</v>
      </c>
      <c r="G55" s="8">
        <f t="shared" si="0"/>
        <v>2011</v>
      </c>
      <c r="H55" s="9">
        <v>441888415</v>
      </c>
      <c r="I55" s="7">
        <v>40915</v>
      </c>
      <c r="J55" s="10">
        <v>3457</v>
      </c>
      <c r="K55" s="9">
        <v>651.21</v>
      </c>
      <c r="L55" s="9">
        <v>524.96</v>
      </c>
      <c r="M55" s="11">
        <v>2251232.9700000002</v>
      </c>
      <c r="N55" s="11">
        <v>1814786.72</v>
      </c>
      <c r="O55" s="11">
        <v>436446.25</v>
      </c>
      <c r="S55" s="12" t="s">
        <v>2</v>
      </c>
      <c r="T55" s="19" t="s">
        <v>11</v>
      </c>
      <c r="U55" s="19" t="s">
        <v>13</v>
      </c>
      <c r="V55" s="19" t="s">
        <v>137</v>
      </c>
    </row>
    <row r="56" spans="1:22" x14ac:dyDescent="0.25">
      <c r="A56" s="6" t="s">
        <v>28</v>
      </c>
      <c r="B56" s="6" t="s">
        <v>29</v>
      </c>
      <c r="C56" s="6" t="s">
        <v>30</v>
      </c>
      <c r="D56" s="6" t="s">
        <v>17</v>
      </c>
      <c r="E56" s="6" t="s">
        <v>18</v>
      </c>
      <c r="F56" s="7">
        <v>41534</v>
      </c>
      <c r="G56" s="8">
        <f t="shared" si="0"/>
        <v>2013</v>
      </c>
      <c r="H56" s="9">
        <v>508980977</v>
      </c>
      <c r="I56" s="7">
        <v>41571</v>
      </c>
      <c r="J56" s="10">
        <v>7637</v>
      </c>
      <c r="K56" s="9">
        <v>9.33</v>
      </c>
      <c r="L56" s="9">
        <v>6.92</v>
      </c>
      <c r="M56" s="11">
        <v>71253.210000000006</v>
      </c>
      <c r="N56" s="11">
        <v>52848.04</v>
      </c>
      <c r="O56" s="11">
        <v>18405.169999999998</v>
      </c>
      <c r="S56" s="25" t="s">
        <v>16</v>
      </c>
      <c r="T56" s="11">
        <f>SUMIF($C$2:$C$101,S56,$M$2:$M$101)</f>
        <v>10350327.6</v>
      </c>
      <c r="U56" s="11">
        <f>SUMIF($C$2:$C$101,S56,$O$2:$O$101)</f>
        <v>3886643.7</v>
      </c>
      <c r="V56" s="31">
        <f>(U56/T56)*100</f>
        <v>37.550924475086184</v>
      </c>
    </row>
    <row r="57" spans="1:22" x14ac:dyDescent="0.25">
      <c r="A57" s="6" t="s">
        <v>28</v>
      </c>
      <c r="B57" s="6" t="s">
        <v>85</v>
      </c>
      <c r="C57" s="6" t="s">
        <v>44</v>
      </c>
      <c r="D57" s="6" t="s">
        <v>22</v>
      </c>
      <c r="E57" s="6" t="s">
        <v>23</v>
      </c>
      <c r="F57" s="7">
        <v>41068</v>
      </c>
      <c r="G57" s="8">
        <f t="shared" si="0"/>
        <v>2012</v>
      </c>
      <c r="H57" s="9">
        <v>114606559</v>
      </c>
      <c r="I57" s="7">
        <v>41087</v>
      </c>
      <c r="J57" s="10">
        <v>3482</v>
      </c>
      <c r="K57" s="9">
        <v>109.28</v>
      </c>
      <c r="L57" s="9">
        <v>35.840000000000003</v>
      </c>
      <c r="M57" s="11">
        <v>380512.96</v>
      </c>
      <c r="N57" s="11">
        <v>124794.88</v>
      </c>
      <c r="O57" s="11">
        <v>255718.08</v>
      </c>
      <c r="S57" s="25" t="s">
        <v>21</v>
      </c>
      <c r="T57" s="11">
        <f t="shared" ref="T57:T67" si="15">SUMIF($C$2:$C$101,S57,$M$2:$M$101)</f>
        <v>5322898.9000000004</v>
      </c>
      <c r="U57" s="11">
        <f t="shared" ref="U57:U67" si="16">SUMIF($C$2:$C$101,S57,$O$2:$O$101)</f>
        <v>2292443.4299999997</v>
      </c>
      <c r="V57" s="31">
        <f t="shared" ref="V57:V67" si="17">(U57/T57)*100</f>
        <v>43.067574137092848</v>
      </c>
    </row>
    <row r="58" spans="1:22" x14ac:dyDescent="0.25">
      <c r="A58" s="6" t="s">
        <v>14</v>
      </c>
      <c r="B58" s="6" t="s">
        <v>86</v>
      </c>
      <c r="C58" s="6" t="s">
        <v>44</v>
      </c>
      <c r="D58" s="6" t="s">
        <v>17</v>
      </c>
      <c r="E58" s="6" t="s">
        <v>23</v>
      </c>
      <c r="F58" s="7">
        <v>40359</v>
      </c>
      <c r="G58" s="8">
        <f t="shared" si="0"/>
        <v>2010</v>
      </c>
      <c r="H58" s="9">
        <v>647876489</v>
      </c>
      <c r="I58" s="7">
        <v>40391</v>
      </c>
      <c r="J58" s="10">
        <v>9905</v>
      </c>
      <c r="K58" s="9">
        <v>109.28</v>
      </c>
      <c r="L58" s="9">
        <v>35.840000000000003</v>
      </c>
      <c r="M58" s="11">
        <v>1082418.3999999999</v>
      </c>
      <c r="N58" s="11">
        <v>354995.20000000001</v>
      </c>
      <c r="O58" s="11">
        <v>727423.2</v>
      </c>
      <c r="S58" s="25" t="s">
        <v>26</v>
      </c>
      <c r="T58" s="11">
        <f t="shared" si="15"/>
        <v>30585380.07</v>
      </c>
      <c r="U58" s="11">
        <f t="shared" si="16"/>
        <v>5929583.75</v>
      </c>
      <c r="V58" s="31">
        <f t="shared" si="17"/>
        <v>19.386987300563565</v>
      </c>
    </row>
    <row r="59" spans="1:22" x14ac:dyDescent="0.25">
      <c r="A59" s="6" t="s">
        <v>24</v>
      </c>
      <c r="B59" s="6" t="s">
        <v>87</v>
      </c>
      <c r="C59" s="6" t="s">
        <v>50</v>
      </c>
      <c r="D59" s="6" t="s">
        <v>17</v>
      </c>
      <c r="E59" s="6" t="s">
        <v>18</v>
      </c>
      <c r="F59" s="7">
        <v>42058</v>
      </c>
      <c r="G59" s="8">
        <f t="shared" si="0"/>
        <v>2015</v>
      </c>
      <c r="H59" s="9">
        <v>868214595</v>
      </c>
      <c r="I59" s="7">
        <v>42065</v>
      </c>
      <c r="J59" s="10">
        <v>2847</v>
      </c>
      <c r="K59" s="9">
        <v>437.2</v>
      </c>
      <c r="L59" s="9">
        <v>263.33</v>
      </c>
      <c r="M59" s="11">
        <v>1244708.3999999999</v>
      </c>
      <c r="N59" s="11">
        <v>749700.51</v>
      </c>
      <c r="O59" s="11">
        <v>495007.89</v>
      </c>
      <c r="S59" s="25" t="s">
        <v>30</v>
      </c>
      <c r="T59" s="11">
        <f t="shared" si="15"/>
        <v>466481.34</v>
      </c>
      <c r="U59" s="11">
        <f t="shared" si="16"/>
        <v>120495.18</v>
      </c>
      <c r="V59" s="31">
        <f t="shared" si="17"/>
        <v>25.830653804930332</v>
      </c>
    </row>
    <row r="60" spans="1:22" x14ac:dyDescent="0.25">
      <c r="A60" s="6" t="s">
        <v>24</v>
      </c>
      <c r="B60" s="6" t="s">
        <v>88</v>
      </c>
      <c r="C60" s="6" t="s">
        <v>34</v>
      </c>
      <c r="D60" s="6" t="s">
        <v>22</v>
      </c>
      <c r="E60" s="6" t="s">
        <v>27</v>
      </c>
      <c r="F60" s="7">
        <v>40913</v>
      </c>
      <c r="G60" s="8">
        <f t="shared" si="0"/>
        <v>2012</v>
      </c>
      <c r="H60" s="9">
        <v>955357205</v>
      </c>
      <c r="I60" s="7">
        <v>40953</v>
      </c>
      <c r="J60" s="10">
        <v>282</v>
      </c>
      <c r="K60" s="9">
        <v>668.27</v>
      </c>
      <c r="L60" s="9">
        <v>502.54</v>
      </c>
      <c r="M60" s="11">
        <v>188452.14</v>
      </c>
      <c r="N60" s="11">
        <v>141716.28</v>
      </c>
      <c r="O60" s="11">
        <v>46735.86</v>
      </c>
      <c r="S60" s="25" t="s">
        <v>34</v>
      </c>
      <c r="T60" s="11">
        <f t="shared" si="15"/>
        <v>29889712.289999995</v>
      </c>
      <c r="U60" s="11">
        <f t="shared" si="16"/>
        <v>7412605.7100000009</v>
      </c>
      <c r="V60" s="31">
        <f t="shared" si="17"/>
        <v>24.799856345489104</v>
      </c>
    </row>
    <row r="61" spans="1:22" x14ac:dyDescent="0.25">
      <c r="A61" s="6" t="s">
        <v>28</v>
      </c>
      <c r="B61" s="6" t="s">
        <v>69</v>
      </c>
      <c r="C61" s="6" t="s">
        <v>50</v>
      </c>
      <c r="D61" s="6" t="s">
        <v>17</v>
      </c>
      <c r="E61" s="6" t="s">
        <v>18</v>
      </c>
      <c r="F61" s="7">
        <v>41736</v>
      </c>
      <c r="G61" s="8">
        <f t="shared" si="0"/>
        <v>2014</v>
      </c>
      <c r="H61" s="9">
        <v>259353148</v>
      </c>
      <c r="I61" s="7">
        <v>41748</v>
      </c>
      <c r="J61" s="10">
        <v>7215</v>
      </c>
      <c r="K61" s="9">
        <v>437.2</v>
      </c>
      <c r="L61" s="9">
        <v>263.33</v>
      </c>
      <c r="M61" s="11">
        <v>3154398</v>
      </c>
      <c r="N61" s="11">
        <v>1899925.95</v>
      </c>
      <c r="O61" s="11">
        <v>1254472.05</v>
      </c>
      <c r="S61" s="25" t="s">
        <v>37</v>
      </c>
      <c r="T61" s="11">
        <f t="shared" si="15"/>
        <v>3089057.06</v>
      </c>
      <c r="U61" s="11">
        <f t="shared" si="16"/>
        <v>1265819.6300000001</v>
      </c>
      <c r="V61" s="31">
        <f t="shared" si="17"/>
        <v>40.97754121770739</v>
      </c>
    </row>
    <row r="62" spans="1:22" x14ac:dyDescent="0.25">
      <c r="A62" s="6" t="s">
        <v>14</v>
      </c>
      <c r="B62" s="6" t="s">
        <v>67</v>
      </c>
      <c r="C62" s="6" t="s">
        <v>21</v>
      </c>
      <c r="D62" s="6" t="s">
        <v>17</v>
      </c>
      <c r="E62" s="6" t="s">
        <v>18</v>
      </c>
      <c r="F62" s="7">
        <v>41434</v>
      </c>
      <c r="G62" s="8">
        <f t="shared" si="0"/>
        <v>2013</v>
      </c>
      <c r="H62" s="9">
        <v>450563752</v>
      </c>
      <c r="I62" s="7">
        <v>41457</v>
      </c>
      <c r="J62" s="10">
        <v>682</v>
      </c>
      <c r="K62" s="9">
        <v>205.7</v>
      </c>
      <c r="L62" s="9">
        <v>117.11</v>
      </c>
      <c r="M62" s="11">
        <v>140287.4</v>
      </c>
      <c r="N62" s="11">
        <v>79869.02</v>
      </c>
      <c r="O62" s="11">
        <v>60418.38</v>
      </c>
      <c r="S62" s="25" t="s">
        <v>39</v>
      </c>
      <c r="T62" s="11">
        <f t="shared" si="15"/>
        <v>3980904.8400000003</v>
      </c>
      <c r="U62" s="11">
        <f t="shared" si="16"/>
        <v>1220622.48</v>
      </c>
      <c r="V62" s="31">
        <f t="shared" si="17"/>
        <v>30.661935641747213</v>
      </c>
    </row>
    <row r="63" spans="1:22" x14ac:dyDescent="0.25">
      <c r="A63" s="6" t="s">
        <v>24</v>
      </c>
      <c r="B63" s="6" t="s">
        <v>89</v>
      </c>
      <c r="C63" s="6" t="s">
        <v>16</v>
      </c>
      <c r="D63" s="6" t="s">
        <v>22</v>
      </c>
      <c r="E63" s="6" t="s">
        <v>27</v>
      </c>
      <c r="F63" s="7">
        <v>41451</v>
      </c>
      <c r="G63" s="8">
        <f t="shared" si="0"/>
        <v>2013</v>
      </c>
      <c r="H63" s="9">
        <v>569662845</v>
      </c>
      <c r="I63" s="7">
        <v>41456</v>
      </c>
      <c r="J63" s="10">
        <v>4750</v>
      </c>
      <c r="K63" s="9">
        <v>255.28</v>
      </c>
      <c r="L63" s="9">
        <v>159.41999999999999</v>
      </c>
      <c r="M63" s="11">
        <v>1212580</v>
      </c>
      <c r="N63" s="11">
        <v>757245</v>
      </c>
      <c r="O63" s="11">
        <v>455335</v>
      </c>
      <c r="S63" s="25" t="s">
        <v>44</v>
      </c>
      <c r="T63" s="11">
        <f t="shared" si="15"/>
        <v>7787292.799999998</v>
      </c>
      <c r="U63" s="11">
        <f t="shared" si="16"/>
        <v>5233334.4000000004</v>
      </c>
      <c r="V63" s="31">
        <f t="shared" si="17"/>
        <v>67.203513909224029</v>
      </c>
    </row>
    <row r="64" spans="1:22" x14ac:dyDescent="0.25">
      <c r="A64" s="6" t="s">
        <v>28</v>
      </c>
      <c r="B64" s="6" t="s">
        <v>51</v>
      </c>
      <c r="C64" s="6" t="s">
        <v>26</v>
      </c>
      <c r="D64" s="6" t="s">
        <v>22</v>
      </c>
      <c r="E64" s="6" t="s">
        <v>35</v>
      </c>
      <c r="F64" s="7">
        <v>40854</v>
      </c>
      <c r="G64" s="8">
        <f t="shared" si="0"/>
        <v>2011</v>
      </c>
      <c r="H64" s="9">
        <v>177636754</v>
      </c>
      <c r="I64" s="7">
        <v>40862</v>
      </c>
      <c r="J64" s="10">
        <v>5518</v>
      </c>
      <c r="K64" s="9">
        <v>651.21</v>
      </c>
      <c r="L64" s="9">
        <v>524.96</v>
      </c>
      <c r="M64" s="11">
        <v>3593376.78</v>
      </c>
      <c r="N64" s="11">
        <v>2896729.28</v>
      </c>
      <c r="O64" s="11">
        <v>696647.5</v>
      </c>
      <c r="S64" s="25" t="s">
        <v>50</v>
      </c>
      <c r="T64" s="11">
        <f t="shared" si="15"/>
        <v>36601509.600000001</v>
      </c>
      <c r="U64" s="11">
        <f t="shared" si="16"/>
        <v>14556048.66</v>
      </c>
      <c r="V64" s="31">
        <f t="shared" si="17"/>
        <v>39.768984446477582</v>
      </c>
    </row>
    <row r="65" spans="1:22" x14ac:dyDescent="0.25">
      <c r="A65" s="6" t="s">
        <v>71</v>
      </c>
      <c r="B65" s="6" t="s">
        <v>90</v>
      </c>
      <c r="C65" s="6" t="s">
        <v>44</v>
      </c>
      <c r="D65" s="6" t="s">
        <v>17</v>
      </c>
      <c r="E65" s="6" t="s">
        <v>18</v>
      </c>
      <c r="F65" s="7">
        <v>40481</v>
      </c>
      <c r="G65" s="8">
        <f t="shared" si="0"/>
        <v>2010</v>
      </c>
      <c r="H65" s="9">
        <v>705784308</v>
      </c>
      <c r="I65" s="7">
        <v>40499</v>
      </c>
      <c r="J65" s="10">
        <v>6116</v>
      </c>
      <c r="K65" s="9">
        <v>109.28</v>
      </c>
      <c r="L65" s="9">
        <v>35.840000000000003</v>
      </c>
      <c r="M65" s="11">
        <v>668356.48</v>
      </c>
      <c r="N65" s="11">
        <v>219197.44</v>
      </c>
      <c r="O65" s="11">
        <v>449159.04</v>
      </c>
      <c r="S65" s="25" t="s">
        <v>52</v>
      </c>
      <c r="T65" s="11">
        <f t="shared" si="15"/>
        <v>2690794.6</v>
      </c>
      <c r="U65" s="11">
        <f t="shared" si="16"/>
        <v>888047.27999999991</v>
      </c>
      <c r="V65" s="31">
        <f t="shared" si="17"/>
        <v>33.003161222339301</v>
      </c>
    </row>
    <row r="66" spans="1:22" x14ac:dyDescent="0.25">
      <c r="A66" s="6" t="s">
        <v>19</v>
      </c>
      <c r="B66" s="6" t="s">
        <v>91</v>
      </c>
      <c r="C66" s="6" t="s">
        <v>50</v>
      </c>
      <c r="D66" s="6" t="s">
        <v>17</v>
      </c>
      <c r="E66" s="6" t="s">
        <v>18</v>
      </c>
      <c r="F66" s="7">
        <v>41560</v>
      </c>
      <c r="G66" s="8">
        <f t="shared" si="0"/>
        <v>2013</v>
      </c>
      <c r="H66" s="9">
        <v>505716836</v>
      </c>
      <c r="I66" s="7">
        <v>41594</v>
      </c>
      <c r="J66" s="10">
        <v>1705</v>
      </c>
      <c r="K66" s="9">
        <v>437.2</v>
      </c>
      <c r="L66" s="9">
        <v>263.33</v>
      </c>
      <c r="M66" s="11">
        <v>745426</v>
      </c>
      <c r="N66" s="11">
        <v>448977.65</v>
      </c>
      <c r="O66" s="11">
        <v>296448.34999999998</v>
      </c>
      <c r="S66" s="25" t="s">
        <v>55</v>
      </c>
      <c r="T66" s="11">
        <f t="shared" si="15"/>
        <v>4503675.75</v>
      </c>
      <c r="U66" s="11">
        <f t="shared" si="16"/>
        <v>610610</v>
      </c>
      <c r="V66" s="31">
        <f t="shared" si="17"/>
        <v>13.558036455000119</v>
      </c>
    </row>
    <row r="67" spans="1:22" x14ac:dyDescent="0.25">
      <c r="A67" s="6" t="s">
        <v>28</v>
      </c>
      <c r="B67" s="6" t="s">
        <v>31</v>
      </c>
      <c r="C67" s="6" t="s">
        <v>50</v>
      </c>
      <c r="D67" s="6" t="s">
        <v>17</v>
      </c>
      <c r="E67" s="6" t="s">
        <v>18</v>
      </c>
      <c r="F67" s="7">
        <v>41558</v>
      </c>
      <c r="G67" s="8">
        <f t="shared" si="0"/>
        <v>2013</v>
      </c>
      <c r="H67" s="9">
        <v>699358165</v>
      </c>
      <c r="I67" s="7">
        <v>41603</v>
      </c>
      <c r="J67" s="10">
        <v>4477</v>
      </c>
      <c r="K67" s="9">
        <v>437.2</v>
      </c>
      <c r="L67" s="9">
        <v>263.33</v>
      </c>
      <c r="M67" s="11">
        <v>1957344.4</v>
      </c>
      <c r="N67" s="11">
        <v>1178928.4099999999</v>
      </c>
      <c r="O67" s="11">
        <v>778415.99</v>
      </c>
      <c r="S67" s="25" t="s">
        <v>58</v>
      </c>
      <c r="T67" s="11">
        <f t="shared" si="15"/>
        <v>2080733.46</v>
      </c>
      <c r="U67" s="11">
        <f t="shared" si="16"/>
        <v>751944.18</v>
      </c>
      <c r="V67" s="31">
        <f t="shared" si="17"/>
        <v>36.138419189933153</v>
      </c>
    </row>
    <row r="68" spans="1:22" x14ac:dyDescent="0.25">
      <c r="A68" s="6" t="s">
        <v>28</v>
      </c>
      <c r="B68" s="6" t="s">
        <v>92</v>
      </c>
      <c r="C68" s="6" t="s">
        <v>39</v>
      </c>
      <c r="D68" s="6" t="s">
        <v>17</v>
      </c>
      <c r="E68" s="6" t="s">
        <v>27</v>
      </c>
      <c r="F68" s="7">
        <v>41098</v>
      </c>
      <c r="G68" s="8">
        <f t="shared" si="0"/>
        <v>2012</v>
      </c>
      <c r="H68" s="9">
        <v>228944623</v>
      </c>
      <c r="I68" s="7">
        <v>41099</v>
      </c>
      <c r="J68" s="10">
        <v>8656</v>
      </c>
      <c r="K68" s="9">
        <v>81.73</v>
      </c>
      <c r="L68" s="9">
        <v>56.67</v>
      </c>
      <c r="M68" s="11">
        <v>707454.88</v>
      </c>
      <c r="N68" s="11">
        <v>490535.52</v>
      </c>
      <c r="O68" s="11">
        <v>216919.36</v>
      </c>
      <c r="S68" s="12" t="s">
        <v>127</v>
      </c>
      <c r="T68" s="17">
        <f>SUM(T56:T67)</f>
        <v>137348768.31</v>
      </c>
      <c r="U68" s="17">
        <f>SUM(U56:U67)</f>
        <v>44168198.399999999</v>
      </c>
      <c r="V68" s="32">
        <f>(U68/T68)*100</f>
        <v>32.157695291676106</v>
      </c>
    </row>
    <row r="69" spans="1:22" x14ac:dyDescent="0.25">
      <c r="A69" s="6" t="s">
        <v>19</v>
      </c>
      <c r="B69" s="6" t="s">
        <v>93</v>
      </c>
      <c r="C69" s="6" t="s">
        <v>44</v>
      </c>
      <c r="D69" s="6" t="s">
        <v>17</v>
      </c>
      <c r="E69" s="6" t="s">
        <v>35</v>
      </c>
      <c r="F69" s="7">
        <v>42576</v>
      </c>
      <c r="G69" s="8">
        <f t="shared" ref="G69:G101" si="18">YEAR(F69)</f>
        <v>2016</v>
      </c>
      <c r="H69" s="9">
        <v>807025039</v>
      </c>
      <c r="I69" s="7">
        <v>42620</v>
      </c>
      <c r="J69" s="10">
        <v>5498</v>
      </c>
      <c r="K69" s="9">
        <v>109.28</v>
      </c>
      <c r="L69" s="9">
        <v>35.840000000000003</v>
      </c>
      <c r="M69" s="11">
        <v>600821.43999999994</v>
      </c>
      <c r="N69" s="11">
        <v>197048.32000000001</v>
      </c>
      <c r="O69" s="11">
        <v>403773.12</v>
      </c>
    </row>
    <row r="70" spans="1:22" x14ac:dyDescent="0.25">
      <c r="A70" s="6" t="s">
        <v>24</v>
      </c>
      <c r="B70" s="6" t="s">
        <v>94</v>
      </c>
      <c r="C70" s="6" t="s">
        <v>26</v>
      </c>
      <c r="D70" s="6" t="s">
        <v>17</v>
      </c>
      <c r="E70" s="6" t="s">
        <v>18</v>
      </c>
      <c r="F70" s="7">
        <v>40475</v>
      </c>
      <c r="G70" s="8">
        <f t="shared" si="18"/>
        <v>2010</v>
      </c>
      <c r="H70" s="9">
        <v>166460740</v>
      </c>
      <c r="I70" s="7">
        <v>40499</v>
      </c>
      <c r="J70" s="10">
        <v>8287</v>
      </c>
      <c r="K70" s="9">
        <v>651.21</v>
      </c>
      <c r="L70" s="9">
        <v>524.96</v>
      </c>
      <c r="M70" s="11">
        <v>5396577.2699999996</v>
      </c>
      <c r="N70" s="11">
        <v>4350343.5199999996</v>
      </c>
      <c r="O70" s="11">
        <v>1046233.75</v>
      </c>
      <c r="S70" s="70" t="s">
        <v>139</v>
      </c>
      <c r="T70" s="70"/>
    </row>
    <row r="71" spans="1:22" x14ac:dyDescent="0.25">
      <c r="A71" s="6" t="s">
        <v>28</v>
      </c>
      <c r="B71" s="6" t="s">
        <v>95</v>
      </c>
      <c r="C71" s="6" t="s">
        <v>44</v>
      </c>
      <c r="D71" s="6" t="s">
        <v>17</v>
      </c>
      <c r="E71" s="6" t="s">
        <v>27</v>
      </c>
      <c r="F71" s="7">
        <v>42119</v>
      </c>
      <c r="G71" s="8">
        <f t="shared" si="18"/>
        <v>2015</v>
      </c>
      <c r="H71" s="9">
        <v>610425555</v>
      </c>
      <c r="I71" s="7">
        <v>42152</v>
      </c>
      <c r="J71" s="10">
        <v>7342</v>
      </c>
      <c r="K71" s="9">
        <v>109.28</v>
      </c>
      <c r="L71" s="9">
        <v>35.840000000000003</v>
      </c>
      <c r="M71" s="11">
        <v>802333.76</v>
      </c>
      <c r="N71" s="11">
        <v>263137.28000000003</v>
      </c>
      <c r="O71" s="11">
        <v>539196.48</v>
      </c>
      <c r="S71" s="12" t="s">
        <v>115</v>
      </c>
      <c r="T71" s="12" t="s">
        <v>131</v>
      </c>
    </row>
    <row r="72" spans="1:22" x14ac:dyDescent="0.25">
      <c r="A72" s="6" t="s">
        <v>41</v>
      </c>
      <c r="B72" s="6" t="s">
        <v>53</v>
      </c>
      <c r="C72" s="6" t="s">
        <v>26</v>
      </c>
      <c r="D72" s="6" t="s">
        <v>22</v>
      </c>
      <c r="E72" s="6" t="s">
        <v>35</v>
      </c>
      <c r="F72" s="7">
        <v>41387</v>
      </c>
      <c r="G72" s="8">
        <f t="shared" si="18"/>
        <v>2013</v>
      </c>
      <c r="H72" s="9">
        <v>462405812</v>
      </c>
      <c r="I72" s="7">
        <v>41414</v>
      </c>
      <c r="J72" s="10">
        <v>5010</v>
      </c>
      <c r="K72" s="9">
        <v>651.21</v>
      </c>
      <c r="L72" s="9">
        <v>524.96</v>
      </c>
      <c r="M72" s="11">
        <v>3262562.1</v>
      </c>
      <c r="N72" s="11">
        <v>2630049.6</v>
      </c>
      <c r="O72" s="11">
        <v>632512.5</v>
      </c>
      <c r="S72" s="8">
        <v>2010</v>
      </c>
      <c r="T72" s="11">
        <f>AVERAGEIF($G$2:$G$101,S72,$O$2:$O$101)</f>
        <v>662956.74300000002</v>
      </c>
    </row>
    <row r="73" spans="1:22" x14ac:dyDescent="0.25">
      <c r="A73" s="6" t="s">
        <v>71</v>
      </c>
      <c r="B73" s="6" t="s">
        <v>90</v>
      </c>
      <c r="C73" s="6" t="s">
        <v>30</v>
      </c>
      <c r="D73" s="6" t="s">
        <v>22</v>
      </c>
      <c r="E73" s="6" t="s">
        <v>27</v>
      </c>
      <c r="F73" s="7">
        <v>42230</v>
      </c>
      <c r="G73" s="8">
        <f t="shared" si="18"/>
        <v>2015</v>
      </c>
      <c r="H73" s="9">
        <v>816200339</v>
      </c>
      <c r="I73" s="7">
        <v>42277</v>
      </c>
      <c r="J73" s="10">
        <v>673</v>
      </c>
      <c r="K73" s="9">
        <v>9.33</v>
      </c>
      <c r="L73" s="9">
        <v>6.92</v>
      </c>
      <c r="M73" s="11">
        <v>6279.09</v>
      </c>
      <c r="N73" s="11">
        <v>4657.16</v>
      </c>
      <c r="O73" s="11">
        <v>1621.93</v>
      </c>
      <c r="S73" s="8">
        <v>2011</v>
      </c>
      <c r="T73" s="11">
        <f t="shared" ref="T73:T79" si="19">AVERAGEIF($G$2:$G$101,S73,$O$2:$O$101)</f>
        <v>228417.35250000004</v>
      </c>
    </row>
    <row r="74" spans="1:22" x14ac:dyDescent="0.25">
      <c r="A74" s="6" t="s">
        <v>28</v>
      </c>
      <c r="B74" s="6" t="s">
        <v>96</v>
      </c>
      <c r="C74" s="6" t="s">
        <v>52</v>
      </c>
      <c r="D74" s="6" t="s">
        <v>22</v>
      </c>
      <c r="E74" s="6" t="s">
        <v>23</v>
      </c>
      <c r="F74" s="7">
        <v>40689</v>
      </c>
      <c r="G74" s="8">
        <f t="shared" si="18"/>
        <v>2011</v>
      </c>
      <c r="H74" s="9">
        <v>585920464</v>
      </c>
      <c r="I74" s="7">
        <v>40739</v>
      </c>
      <c r="J74" s="10">
        <v>5741</v>
      </c>
      <c r="K74" s="9">
        <v>47.45</v>
      </c>
      <c r="L74" s="9">
        <v>31.79</v>
      </c>
      <c r="M74" s="11">
        <v>272410.45</v>
      </c>
      <c r="N74" s="11">
        <v>182506.39</v>
      </c>
      <c r="O74" s="11">
        <v>89904.06</v>
      </c>
      <c r="S74" s="8">
        <v>2012</v>
      </c>
      <c r="T74" s="11">
        <f t="shared" si="19"/>
        <v>418773.18727272731</v>
      </c>
    </row>
    <row r="75" spans="1:22" x14ac:dyDescent="0.25">
      <c r="A75" s="6" t="s">
        <v>28</v>
      </c>
      <c r="B75" s="6" t="s">
        <v>69</v>
      </c>
      <c r="C75" s="6" t="s">
        <v>21</v>
      </c>
      <c r="D75" s="6" t="s">
        <v>22</v>
      </c>
      <c r="E75" s="6" t="s">
        <v>18</v>
      </c>
      <c r="F75" s="7">
        <v>42875</v>
      </c>
      <c r="G75" s="8">
        <f t="shared" si="18"/>
        <v>2017</v>
      </c>
      <c r="H75" s="9">
        <v>555990016</v>
      </c>
      <c r="I75" s="7">
        <v>42903</v>
      </c>
      <c r="J75" s="10">
        <v>8656</v>
      </c>
      <c r="K75" s="9">
        <v>205.7</v>
      </c>
      <c r="L75" s="9">
        <v>117.11</v>
      </c>
      <c r="M75" s="11">
        <v>1780539.2</v>
      </c>
      <c r="N75" s="11">
        <v>1013704.16</v>
      </c>
      <c r="O75" s="11">
        <v>766835.04</v>
      </c>
      <c r="S75" s="8">
        <v>2013</v>
      </c>
      <c r="T75" s="11">
        <f t="shared" si="19"/>
        <v>559618.33666666655</v>
      </c>
    </row>
    <row r="76" spans="1:22" x14ac:dyDescent="0.25">
      <c r="A76" s="6" t="s">
        <v>71</v>
      </c>
      <c r="B76" s="6" t="s">
        <v>97</v>
      </c>
      <c r="C76" s="6" t="s">
        <v>50</v>
      </c>
      <c r="D76" s="6" t="s">
        <v>17</v>
      </c>
      <c r="E76" s="6" t="s">
        <v>27</v>
      </c>
      <c r="F76" s="7">
        <v>41460</v>
      </c>
      <c r="G76" s="8">
        <f t="shared" si="18"/>
        <v>2013</v>
      </c>
      <c r="H76" s="9">
        <v>231145322</v>
      </c>
      <c r="I76" s="7">
        <v>41502</v>
      </c>
      <c r="J76" s="10">
        <v>9892</v>
      </c>
      <c r="K76" s="9">
        <v>437.2</v>
      </c>
      <c r="L76" s="9">
        <v>263.33</v>
      </c>
      <c r="M76" s="11">
        <v>4324782.4000000004</v>
      </c>
      <c r="N76" s="11">
        <v>2604860.36</v>
      </c>
      <c r="O76" s="11">
        <v>1719922.04</v>
      </c>
      <c r="S76" s="8">
        <v>2014</v>
      </c>
      <c r="T76" s="11">
        <f t="shared" si="19"/>
        <v>391964.11199999996</v>
      </c>
    </row>
    <row r="77" spans="1:22" x14ac:dyDescent="0.25">
      <c r="A77" s="6" t="s">
        <v>98</v>
      </c>
      <c r="B77" s="6" t="s">
        <v>99</v>
      </c>
      <c r="C77" s="6" t="s">
        <v>34</v>
      </c>
      <c r="D77" s="6" t="s">
        <v>17</v>
      </c>
      <c r="E77" s="6" t="s">
        <v>23</v>
      </c>
      <c r="F77" s="7">
        <v>41949</v>
      </c>
      <c r="G77" s="8">
        <f t="shared" si="18"/>
        <v>2014</v>
      </c>
      <c r="H77" s="9">
        <v>986435210</v>
      </c>
      <c r="I77" s="7">
        <v>41985</v>
      </c>
      <c r="J77" s="10">
        <v>6954</v>
      </c>
      <c r="K77" s="9">
        <v>668.27</v>
      </c>
      <c r="L77" s="9">
        <v>502.54</v>
      </c>
      <c r="M77" s="11">
        <v>4647149.58</v>
      </c>
      <c r="N77" s="11">
        <v>3494663.16</v>
      </c>
      <c r="O77" s="11">
        <v>1152486.42</v>
      </c>
      <c r="S77" s="8">
        <v>2015</v>
      </c>
      <c r="T77" s="11">
        <f t="shared" si="19"/>
        <v>363321.76727272733</v>
      </c>
    </row>
    <row r="78" spans="1:22" x14ac:dyDescent="0.25">
      <c r="A78" s="6" t="s">
        <v>14</v>
      </c>
      <c r="B78" s="6" t="s">
        <v>100</v>
      </c>
      <c r="C78" s="6" t="s">
        <v>52</v>
      </c>
      <c r="D78" s="6" t="s">
        <v>22</v>
      </c>
      <c r="E78" s="6" t="s">
        <v>23</v>
      </c>
      <c r="F78" s="7">
        <v>41940</v>
      </c>
      <c r="G78" s="8">
        <f t="shared" si="18"/>
        <v>2014</v>
      </c>
      <c r="H78" s="9">
        <v>217221009</v>
      </c>
      <c r="I78" s="7">
        <v>41958</v>
      </c>
      <c r="J78" s="10">
        <v>9379</v>
      </c>
      <c r="K78" s="9">
        <v>47.45</v>
      </c>
      <c r="L78" s="9">
        <v>31.79</v>
      </c>
      <c r="M78" s="11">
        <v>445033.55</v>
      </c>
      <c r="N78" s="11">
        <v>298158.40999999997</v>
      </c>
      <c r="O78" s="11">
        <v>146875.14000000001</v>
      </c>
      <c r="S78" s="8">
        <v>2016</v>
      </c>
      <c r="T78" s="11">
        <f t="shared" si="19"/>
        <v>490383.80099999998</v>
      </c>
    </row>
    <row r="79" spans="1:22" x14ac:dyDescent="0.25">
      <c r="A79" s="6" t="s">
        <v>41</v>
      </c>
      <c r="B79" s="6" t="s">
        <v>101</v>
      </c>
      <c r="C79" s="6" t="s">
        <v>37</v>
      </c>
      <c r="D79" s="6" t="s">
        <v>17</v>
      </c>
      <c r="E79" s="6" t="s">
        <v>23</v>
      </c>
      <c r="F79" s="7">
        <v>40801</v>
      </c>
      <c r="G79" s="8">
        <f t="shared" si="18"/>
        <v>2011</v>
      </c>
      <c r="H79" s="9">
        <v>789176547</v>
      </c>
      <c r="I79" s="7">
        <v>40839</v>
      </c>
      <c r="J79" s="10">
        <v>3732</v>
      </c>
      <c r="K79" s="9">
        <v>154.06</v>
      </c>
      <c r="L79" s="9">
        <v>90.93</v>
      </c>
      <c r="M79" s="11">
        <v>574951.92000000004</v>
      </c>
      <c r="N79" s="11">
        <v>339350.76</v>
      </c>
      <c r="O79" s="11">
        <v>235601.16</v>
      </c>
      <c r="S79" s="8">
        <v>2017</v>
      </c>
      <c r="T79" s="11">
        <f t="shared" si="19"/>
        <v>511169.18125000002</v>
      </c>
    </row>
    <row r="80" spans="1:22" x14ac:dyDescent="0.25">
      <c r="A80" s="6" t="s">
        <v>24</v>
      </c>
      <c r="B80" s="6" t="s">
        <v>102</v>
      </c>
      <c r="C80" s="6" t="s">
        <v>16</v>
      </c>
      <c r="D80" s="6" t="s">
        <v>17</v>
      </c>
      <c r="E80" s="6" t="s">
        <v>18</v>
      </c>
      <c r="F80" s="7">
        <v>41058</v>
      </c>
      <c r="G80" s="8">
        <f t="shared" si="18"/>
        <v>2012</v>
      </c>
      <c r="H80" s="9">
        <v>688288152</v>
      </c>
      <c r="I80" s="7">
        <v>41062</v>
      </c>
      <c r="J80" s="10">
        <v>8614</v>
      </c>
      <c r="K80" s="9">
        <v>255.28</v>
      </c>
      <c r="L80" s="9">
        <v>159.41999999999999</v>
      </c>
      <c r="M80" s="11">
        <v>2198981.92</v>
      </c>
      <c r="N80" s="11">
        <v>1373243.88</v>
      </c>
      <c r="O80" s="11">
        <v>825738.04</v>
      </c>
    </row>
    <row r="81" spans="1:23" x14ac:dyDescent="0.25">
      <c r="A81" s="6" t="s">
        <v>14</v>
      </c>
      <c r="B81" s="6" t="s">
        <v>103</v>
      </c>
      <c r="C81" s="6" t="s">
        <v>50</v>
      </c>
      <c r="D81" s="6" t="s">
        <v>22</v>
      </c>
      <c r="E81" s="6" t="s">
        <v>18</v>
      </c>
      <c r="F81" s="7">
        <v>41475</v>
      </c>
      <c r="G81" s="8">
        <f t="shared" si="18"/>
        <v>2013</v>
      </c>
      <c r="H81" s="9">
        <v>670854651</v>
      </c>
      <c r="I81" s="7">
        <v>41493</v>
      </c>
      <c r="J81" s="10">
        <v>9654</v>
      </c>
      <c r="K81" s="9">
        <v>437.2</v>
      </c>
      <c r="L81" s="9">
        <v>263.33</v>
      </c>
      <c r="M81" s="11">
        <v>4220728.8</v>
      </c>
      <c r="N81" s="11">
        <v>2542187.8199999998</v>
      </c>
      <c r="O81" s="11">
        <v>1678540.98</v>
      </c>
      <c r="S81" s="69" t="s">
        <v>140</v>
      </c>
      <c r="T81" s="69"/>
      <c r="U81" s="69" t="s">
        <v>141</v>
      </c>
      <c r="V81" s="69"/>
      <c r="W81" s="69"/>
    </row>
    <row r="82" spans="1:23" x14ac:dyDescent="0.25">
      <c r="A82" s="6" t="s">
        <v>24</v>
      </c>
      <c r="B82" s="6" t="s">
        <v>104</v>
      </c>
      <c r="C82" s="6" t="s">
        <v>34</v>
      </c>
      <c r="D82" s="6" t="s">
        <v>17</v>
      </c>
      <c r="E82" s="6" t="s">
        <v>27</v>
      </c>
      <c r="F82" s="7">
        <v>41203</v>
      </c>
      <c r="G82" s="8">
        <f t="shared" si="18"/>
        <v>2012</v>
      </c>
      <c r="H82" s="9">
        <v>213487374</v>
      </c>
      <c r="I82" s="7">
        <v>41243</v>
      </c>
      <c r="J82" s="10">
        <v>4513</v>
      </c>
      <c r="K82" s="9">
        <v>668.27</v>
      </c>
      <c r="L82" s="9">
        <v>502.54</v>
      </c>
      <c r="M82" s="11">
        <v>3015902.51</v>
      </c>
      <c r="N82" s="11">
        <v>2267963.02</v>
      </c>
      <c r="O82" s="11">
        <v>747939.49</v>
      </c>
      <c r="S82" s="12" t="s">
        <v>1</v>
      </c>
      <c r="T82" s="19" t="s">
        <v>126</v>
      </c>
      <c r="U82" s="12" t="s">
        <v>129</v>
      </c>
      <c r="V82" s="12" t="s">
        <v>1</v>
      </c>
      <c r="W82" s="19" t="s">
        <v>126</v>
      </c>
    </row>
    <row r="83" spans="1:23" x14ac:dyDescent="0.25">
      <c r="A83" s="6" t="s">
        <v>71</v>
      </c>
      <c r="B83" s="6" t="s">
        <v>105</v>
      </c>
      <c r="C83" s="6" t="s">
        <v>44</v>
      </c>
      <c r="D83" s="6" t="s">
        <v>22</v>
      </c>
      <c r="E83" s="6" t="s">
        <v>27</v>
      </c>
      <c r="F83" s="7">
        <v>41170</v>
      </c>
      <c r="G83" s="8">
        <f t="shared" si="18"/>
        <v>2012</v>
      </c>
      <c r="H83" s="9">
        <v>663110148</v>
      </c>
      <c r="I83" s="7">
        <v>41190</v>
      </c>
      <c r="J83" s="10">
        <v>7884</v>
      </c>
      <c r="K83" s="9">
        <v>109.28</v>
      </c>
      <c r="L83" s="9">
        <v>35.840000000000003</v>
      </c>
      <c r="M83" s="11">
        <v>861563.52</v>
      </c>
      <c r="N83" s="11">
        <v>282562.56</v>
      </c>
      <c r="O83" s="11">
        <v>579000.96</v>
      </c>
      <c r="S83" s="6" t="s">
        <v>81</v>
      </c>
      <c r="T83" s="11">
        <f>SUMIF($B$2:$B$101,S83,$M$2:$M$101)</f>
        <v>247956.32</v>
      </c>
      <c r="U83" s="26">
        <v>1</v>
      </c>
      <c r="V83" s="6" t="str">
        <f>INDEX($S$83:$S$158, MATCH(LARGE($T$83:$T$158, $U83), $T$83:$T$158, 0))</f>
        <v>Honduras</v>
      </c>
      <c r="W83" s="11">
        <f>LARGE($T$83:$T$158,U83)</f>
        <v>6336545.4800000004</v>
      </c>
    </row>
    <row r="84" spans="1:23" x14ac:dyDescent="0.25">
      <c r="A84" s="6" t="s">
        <v>71</v>
      </c>
      <c r="B84" s="6" t="s">
        <v>106</v>
      </c>
      <c r="C84" s="6" t="s">
        <v>50</v>
      </c>
      <c r="D84" s="6" t="s">
        <v>22</v>
      </c>
      <c r="E84" s="6" t="s">
        <v>18</v>
      </c>
      <c r="F84" s="7">
        <v>42689</v>
      </c>
      <c r="G84" s="8">
        <f t="shared" si="18"/>
        <v>2016</v>
      </c>
      <c r="H84" s="9">
        <v>286959302</v>
      </c>
      <c r="I84" s="7">
        <v>42712</v>
      </c>
      <c r="J84" s="10">
        <v>6489</v>
      </c>
      <c r="K84" s="9">
        <v>437.2</v>
      </c>
      <c r="L84" s="9">
        <v>263.33</v>
      </c>
      <c r="M84" s="11">
        <v>2836990.8</v>
      </c>
      <c r="N84" s="11">
        <v>1708748.37</v>
      </c>
      <c r="O84" s="11">
        <v>1128242.43</v>
      </c>
      <c r="S84" s="6" t="s">
        <v>33</v>
      </c>
      <c r="T84" s="11">
        <f t="shared" ref="T84:T146" si="20">SUMIF($B$2:$B$101,S84,$M$2:$M$101)</f>
        <v>2798046.49</v>
      </c>
      <c r="U84" s="26">
        <v>2</v>
      </c>
      <c r="V84" s="6" t="str">
        <f t="shared" ref="V84:V86" si="21">INDEX($S$83:$S$158, MATCH(LARGE($T$83:$T$158, $U84), $T$83:$T$158, 0))</f>
        <v>Myanmar</v>
      </c>
      <c r="W84" s="11">
        <f t="shared" ref="W84:W86" si="22">LARGE($T$83:$T$158,U84)</f>
        <v>6161257.9000000004</v>
      </c>
    </row>
    <row r="85" spans="1:23" x14ac:dyDescent="0.25">
      <c r="A85" s="6" t="s">
        <v>28</v>
      </c>
      <c r="B85" s="6" t="s">
        <v>107</v>
      </c>
      <c r="C85" s="6" t="s">
        <v>58</v>
      </c>
      <c r="D85" s="6" t="s">
        <v>22</v>
      </c>
      <c r="E85" s="6" t="s">
        <v>27</v>
      </c>
      <c r="F85" s="7">
        <v>40547</v>
      </c>
      <c r="G85" s="8">
        <f t="shared" si="18"/>
        <v>2011</v>
      </c>
      <c r="H85" s="9">
        <v>122583663</v>
      </c>
      <c r="I85" s="7">
        <v>40548</v>
      </c>
      <c r="J85" s="10">
        <v>4085</v>
      </c>
      <c r="K85" s="9">
        <v>152.58000000000001</v>
      </c>
      <c r="L85" s="9">
        <v>97.44</v>
      </c>
      <c r="M85" s="11">
        <v>623289.30000000005</v>
      </c>
      <c r="N85" s="11">
        <v>398042.4</v>
      </c>
      <c r="O85" s="11">
        <v>225246.9</v>
      </c>
      <c r="S85" s="6" t="s">
        <v>67</v>
      </c>
      <c r="T85" s="11">
        <f t="shared" si="20"/>
        <v>2489933.4899999998</v>
      </c>
      <c r="U85" s="26">
        <v>3</v>
      </c>
      <c r="V85" s="6" t="str">
        <f t="shared" si="21"/>
        <v>Djibouti</v>
      </c>
      <c r="W85" s="11">
        <f t="shared" si="22"/>
        <v>6052890.8600000003</v>
      </c>
    </row>
    <row r="86" spans="1:23" x14ac:dyDescent="0.25">
      <c r="A86" s="6" t="s">
        <v>28</v>
      </c>
      <c r="B86" s="6" t="s">
        <v>108</v>
      </c>
      <c r="C86" s="6" t="s">
        <v>37</v>
      </c>
      <c r="D86" s="6" t="s">
        <v>22</v>
      </c>
      <c r="E86" s="6" t="s">
        <v>27</v>
      </c>
      <c r="F86" s="7">
        <v>40986</v>
      </c>
      <c r="G86" s="8">
        <f t="shared" si="18"/>
        <v>2012</v>
      </c>
      <c r="H86" s="9">
        <v>827844560</v>
      </c>
      <c r="I86" s="7">
        <v>41006</v>
      </c>
      <c r="J86" s="10">
        <v>6457</v>
      </c>
      <c r="K86" s="9">
        <v>154.06</v>
      </c>
      <c r="L86" s="9">
        <v>90.93</v>
      </c>
      <c r="M86" s="11">
        <v>994765.42</v>
      </c>
      <c r="N86" s="11">
        <v>587135.01</v>
      </c>
      <c r="O86" s="11">
        <v>407630.41</v>
      </c>
      <c r="S86" s="6" t="s">
        <v>87</v>
      </c>
      <c r="T86" s="11">
        <f t="shared" si="20"/>
        <v>1244708.3999999999</v>
      </c>
      <c r="U86" s="26">
        <v>4</v>
      </c>
      <c r="V86" s="6" t="str">
        <f t="shared" si="21"/>
        <v>Turkmenistan</v>
      </c>
      <c r="W86" s="11">
        <f t="shared" si="22"/>
        <v>5822036.2000000002</v>
      </c>
    </row>
    <row r="87" spans="1:23" x14ac:dyDescent="0.25">
      <c r="A87" s="6" t="s">
        <v>98</v>
      </c>
      <c r="B87" s="6" t="s">
        <v>99</v>
      </c>
      <c r="C87" s="6" t="s">
        <v>39</v>
      </c>
      <c r="D87" s="6" t="s">
        <v>17</v>
      </c>
      <c r="E87" s="6" t="s">
        <v>27</v>
      </c>
      <c r="F87" s="7">
        <v>40956</v>
      </c>
      <c r="G87" s="8">
        <f t="shared" si="18"/>
        <v>2012</v>
      </c>
      <c r="H87" s="9">
        <v>430915820</v>
      </c>
      <c r="I87" s="7">
        <v>40988</v>
      </c>
      <c r="J87" s="10">
        <v>6422</v>
      </c>
      <c r="K87" s="9">
        <v>81.73</v>
      </c>
      <c r="L87" s="9">
        <v>56.67</v>
      </c>
      <c r="M87" s="11">
        <v>524870.06000000006</v>
      </c>
      <c r="N87" s="11">
        <v>363934.74</v>
      </c>
      <c r="O87" s="11">
        <v>160935.32</v>
      </c>
      <c r="S87" s="6" t="s">
        <v>75</v>
      </c>
      <c r="T87" s="11">
        <f t="shared" si="20"/>
        <v>4478800.21</v>
      </c>
      <c r="U87" s="69" t="s">
        <v>142</v>
      </c>
      <c r="V87" s="69"/>
      <c r="W87" s="69"/>
    </row>
    <row r="88" spans="1:23" x14ac:dyDescent="0.25">
      <c r="A88" s="6" t="s">
        <v>28</v>
      </c>
      <c r="B88" s="6" t="s">
        <v>29</v>
      </c>
      <c r="C88" s="6" t="s">
        <v>52</v>
      </c>
      <c r="D88" s="6" t="s">
        <v>17</v>
      </c>
      <c r="E88" s="6" t="s">
        <v>23</v>
      </c>
      <c r="F88" s="7">
        <v>40559</v>
      </c>
      <c r="G88" s="8">
        <f t="shared" si="18"/>
        <v>2011</v>
      </c>
      <c r="H88" s="9">
        <v>180283772</v>
      </c>
      <c r="I88" s="7">
        <v>40564</v>
      </c>
      <c r="J88" s="10">
        <v>8829</v>
      </c>
      <c r="K88" s="9">
        <v>47.45</v>
      </c>
      <c r="L88" s="9">
        <v>31.79</v>
      </c>
      <c r="M88" s="11">
        <v>418936.05</v>
      </c>
      <c r="N88" s="11">
        <v>280673.90999999997</v>
      </c>
      <c r="O88" s="11">
        <v>138262.14000000001</v>
      </c>
      <c r="S88" s="6" t="s">
        <v>45</v>
      </c>
      <c r="T88" s="11">
        <f t="shared" si="20"/>
        <v>902980.64</v>
      </c>
      <c r="U88" s="28" t="s">
        <v>129</v>
      </c>
      <c r="V88" s="12" t="s">
        <v>1</v>
      </c>
      <c r="W88" s="27" t="s">
        <v>126</v>
      </c>
    </row>
    <row r="89" spans="1:23" x14ac:dyDescent="0.25">
      <c r="A89" s="6" t="s">
        <v>28</v>
      </c>
      <c r="B89" s="6" t="s">
        <v>64</v>
      </c>
      <c r="C89" s="6" t="s">
        <v>16</v>
      </c>
      <c r="D89" s="6" t="s">
        <v>17</v>
      </c>
      <c r="E89" s="6" t="s">
        <v>35</v>
      </c>
      <c r="F89" s="7">
        <v>41673</v>
      </c>
      <c r="G89" s="8">
        <f t="shared" si="18"/>
        <v>2014</v>
      </c>
      <c r="H89" s="9">
        <v>494747245</v>
      </c>
      <c r="I89" s="7">
        <v>41718</v>
      </c>
      <c r="J89" s="10">
        <v>5559</v>
      </c>
      <c r="K89" s="9">
        <v>255.28</v>
      </c>
      <c r="L89" s="9">
        <v>159.41999999999999</v>
      </c>
      <c r="M89" s="11">
        <v>1419101.52</v>
      </c>
      <c r="N89" s="11">
        <v>886215.78</v>
      </c>
      <c r="O89" s="11">
        <v>532885.74</v>
      </c>
      <c r="S89" s="6" t="s">
        <v>93</v>
      </c>
      <c r="T89" s="11">
        <f t="shared" si="20"/>
        <v>600821.43999999994</v>
      </c>
      <c r="U89" s="26">
        <v>1</v>
      </c>
      <c r="V89" s="6" t="str">
        <f>INDEX($S$83:$S$158, MATCH(SMALL($T$83:$T$158, $U89), $T$83:$T$158, 0))</f>
        <v>Kuwait</v>
      </c>
      <c r="W89" s="11">
        <f t="shared" ref="W89:W92" si="23">SMALL($T$83:$T$158,U89)</f>
        <v>4870.26</v>
      </c>
    </row>
    <row r="90" spans="1:23" x14ac:dyDescent="0.25">
      <c r="A90" s="6" t="s">
        <v>71</v>
      </c>
      <c r="B90" s="6" t="s">
        <v>109</v>
      </c>
      <c r="C90" s="6" t="s">
        <v>30</v>
      </c>
      <c r="D90" s="6" t="s">
        <v>22</v>
      </c>
      <c r="E90" s="6" t="s">
        <v>35</v>
      </c>
      <c r="F90" s="7">
        <v>41029</v>
      </c>
      <c r="G90" s="8">
        <f t="shared" si="18"/>
        <v>2012</v>
      </c>
      <c r="H90" s="9">
        <v>513417565</v>
      </c>
      <c r="I90" s="7">
        <v>41047</v>
      </c>
      <c r="J90" s="10">
        <v>522</v>
      </c>
      <c r="K90" s="9">
        <v>9.33</v>
      </c>
      <c r="L90" s="9">
        <v>6.92</v>
      </c>
      <c r="M90" s="11">
        <v>4870.26</v>
      </c>
      <c r="N90" s="11">
        <v>3612.24</v>
      </c>
      <c r="O90" s="11">
        <v>1258.02</v>
      </c>
      <c r="S90" s="6" t="s">
        <v>73</v>
      </c>
      <c r="T90" s="11">
        <f t="shared" si="20"/>
        <v>4368316.68</v>
      </c>
      <c r="U90" s="26">
        <v>2</v>
      </c>
      <c r="V90" s="6" t="str">
        <f t="shared" ref="V90:V92" si="24">INDEX($S$83:$S$158, MATCH(SMALL($T$83:$T$158, $U90), $T$83:$T$158, 0))</f>
        <v>Kyrgyzstan</v>
      </c>
      <c r="W90" s="11">
        <f t="shared" si="23"/>
        <v>19103.439999999999</v>
      </c>
    </row>
    <row r="91" spans="1:23" x14ac:dyDescent="0.25">
      <c r="A91" s="6" t="s">
        <v>24</v>
      </c>
      <c r="B91" s="6" t="s">
        <v>110</v>
      </c>
      <c r="C91" s="6" t="s">
        <v>52</v>
      </c>
      <c r="D91" s="6" t="s">
        <v>17</v>
      </c>
      <c r="E91" s="6" t="s">
        <v>23</v>
      </c>
      <c r="F91" s="7">
        <v>42666</v>
      </c>
      <c r="G91" s="8">
        <f t="shared" si="18"/>
        <v>2016</v>
      </c>
      <c r="H91" s="9">
        <v>345718562</v>
      </c>
      <c r="I91" s="7">
        <v>42699</v>
      </c>
      <c r="J91" s="10">
        <v>4660</v>
      </c>
      <c r="K91" s="9">
        <v>47.45</v>
      </c>
      <c r="L91" s="9">
        <v>31.79</v>
      </c>
      <c r="M91" s="11">
        <v>221117</v>
      </c>
      <c r="N91" s="11">
        <v>148141.4</v>
      </c>
      <c r="O91" s="11">
        <v>72975.600000000006</v>
      </c>
      <c r="S91" s="6" t="s">
        <v>48</v>
      </c>
      <c r="T91" s="11">
        <f t="shared" si="20"/>
        <v>2779199.71</v>
      </c>
      <c r="U91" s="26">
        <v>3</v>
      </c>
      <c r="V91" s="6" t="str">
        <f t="shared" si="24"/>
        <v>New Zealand</v>
      </c>
      <c r="W91" s="11">
        <f t="shared" si="23"/>
        <v>20404.71</v>
      </c>
    </row>
    <row r="92" spans="1:23" x14ac:dyDescent="0.25">
      <c r="A92" s="6" t="s">
        <v>28</v>
      </c>
      <c r="B92" s="6" t="s">
        <v>84</v>
      </c>
      <c r="C92" s="6" t="s">
        <v>26</v>
      </c>
      <c r="D92" s="6" t="s">
        <v>17</v>
      </c>
      <c r="E92" s="6" t="s">
        <v>18</v>
      </c>
      <c r="F92" s="7">
        <v>42710</v>
      </c>
      <c r="G92" s="8">
        <f t="shared" si="18"/>
        <v>2016</v>
      </c>
      <c r="H92" s="9">
        <v>621386563</v>
      </c>
      <c r="I92" s="7">
        <v>42718</v>
      </c>
      <c r="J92" s="10">
        <v>948</v>
      </c>
      <c r="K92" s="9">
        <v>651.21</v>
      </c>
      <c r="L92" s="9">
        <v>524.96</v>
      </c>
      <c r="M92" s="11">
        <v>617347.07999999996</v>
      </c>
      <c r="N92" s="11">
        <v>497662.08</v>
      </c>
      <c r="O92" s="11">
        <v>119685</v>
      </c>
      <c r="S92" s="6" t="s">
        <v>36</v>
      </c>
      <c r="T92" s="11">
        <f t="shared" si="20"/>
        <v>1245112.92</v>
      </c>
      <c r="U92" s="26">
        <v>4</v>
      </c>
      <c r="V92" s="6" t="str">
        <f t="shared" si="24"/>
        <v>Slovakia</v>
      </c>
      <c r="W92" s="11">
        <f t="shared" si="23"/>
        <v>26344.26</v>
      </c>
    </row>
    <row r="93" spans="1:23" x14ac:dyDescent="0.25">
      <c r="A93" s="6" t="s">
        <v>14</v>
      </c>
      <c r="B93" s="6" t="s">
        <v>67</v>
      </c>
      <c r="C93" s="6" t="s">
        <v>52</v>
      </c>
      <c r="D93" s="6" t="s">
        <v>17</v>
      </c>
      <c r="E93" s="6" t="s">
        <v>18</v>
      </c>
      <c r="F93" s="7">
        <v>41827</v>
      </c>
      <c r="G93" s="8">
        <f t="shared" si="18"/>
        <v>2014</v>
      </c>
      <c r="H93" s="9">
        <v>240470397</v>
      </c>
      <c r="I93" s="7">
        <v>41831</v>
      </c>
      <c r="J93" s="10">
        <v>9389</v>
      </c>
      <c r="K93" s="9">
        <v>47.45</v>
      </c>
      <c r="L93" s="9">
        <v>31.79</v>
      </c>
      <c r="M93" s="11">
        <v>445508.05</v>
      </c>
      <c r="N93" s="11">
        <v>298476.31</v>
      </c>
      <c r="O93" s="11">
        <v>147031.74</v>
      </c>
      <c r="S93" s="6" t="s">
        <v>51</v>
      </c>
      <c r="T93" s="11">
        <f t="shared" si="20"/>
        <v>3851030.28</v>
      </c>
    </row>
    <row r="94" spans="1:23" x14ac:dyDescent="0.25">
      <c r="A94" s="6" t="s">
        <v>71</v>
      </c>
      <c r="B94" s="6" t="s">
        <v>75</v>
      </c>
      <c r="C94" s="6" t="s">
        <v>26</v>
      </c>
      <c r="D94" s="6" t="s">
        <v>22</v>
      </c>
      <c r="E94" s="6" t="s">
        <v>35</v>
      </c>
      <c r="F94" s="7">
        <v>41073</v>
      </c>
      <c r="G94" s="8">
        <f t="shared" si="18"/>
        <v>2012</v>
      </c>
      <c r="H94" s="9">
        <v>423331391</v>
      </c>
      <c r="I94" s="7">
        <v>41114</v>
      </c>
      <c r="J94" s="10">
        <v>2021</v>
      </c>
      <c r="K94" s="9">
        <v>651.21</v>
      </c>
      <c r="L94" s="9">
        <v>524.96</v>
      </c>
      <c r="M94" s="11">
        <v>1316095.4099999999</v>
      </c>
      <c r="N94" s="11">
        <v>1060944.1599999999</v>
      </c>
      <c r="O94" s="11">
        <v>255151.25</v>
      </c>
      <c r="S94" s="6" t="s">
        <v>43</v>
      </c>
      <c r="T94" s="11">
        <f t="shared" si="20"/>
        <v>455479.03999999998</v>
      </c>
    </row>
    <row r="95" spans="1:23" x14ac:dyDescent="0.25">
      <c r="A95" s="6" t="s">
        <v>24</v>
      </c>
      <c r="B95" s="6" t="s">
        <v>111</v>
      </c>
      <c r="C95" s="6" t="s">
        <v>50</v>
      </c>
      <c r="D95" s="6" t="s">
        <v>22</v>
      </c>
      <c r="E95" s="6" t="s">
        <v>18</v>
      </c>
      <c r="F95" s="7">
        <v>40508</v>
      </c>
      <c r="G95" s="8">
        <f t="shared" si="18"/>
        <v>2010</v>
      </c>
      <c r="H95" s="9">
        <v>660643374</v>
      </c>
      <c r="I95" s="7">
        <v>40537</v>
      </c>
      <c r="J95" s="10">
        <v>7910</v>
      </c>
      <c r="K95" s="9">
        <v>437.2</v>
      </c>
      <c r="L95" s="9">
        <v>263.33</v>
      </c>
      <c r="M95" s="11">
        <v>3458252</v>
      </c>
      <c r="N95" s="11">
        <v>2082940.3</v>
      </c>
      <c r="O95" s="11">
        <v>1375311.7</v>
      </c>
      <c r="S95" s="6" t="s">
        <v>77</v>
      </c>
      <c r="T95" s="11">
        <f t="shared" si="20"/>
        <v>197883.4</v>
      </c>
    </row>
    <row r="96" spans="1:23" x14ac:dyDescent="0.25">
      <c r="A96" s="6" t="s">
        <v>19</v>
      </c>
      <c r="B96" s="6" t="s">
        <v>112</v>
      </c>
      <c r="C96" s="6" t="s">
        <v>52</v>
      </c>
      <c r="D96" s="6" t="s">
        <v>17</v>
      </c>
      <c r="E96" s="6" t="s">
        <v>23</v>
      </c>
      <c r="F96" s="7">
        <v>40582</v>
      </c>
      <c r="G96" s="8">
        <f t="shared" si="18"/>
        <v>2011</v>
      </c>
      <c r="H96" s="9">
        <v>963392674</v>
      </c>
      <c r="I96" s="7">
        <v>40623</v>
      </c>
      <c r="J96" s="10">
        <v>8156</v>
      </c>
      <c r="K96" s="9">
        <v>47.45</v>
      </c>
      <c r="L96" s="9">
        <v>31.79</v>
      </c>
      <c r="M96" s="11">
        <v>387002.2</v>
      </c>
      <c r="N96" s="11">
        <v>259279.24</v>
      </c>
      <c r="O96" s="11">
        <v>127722.96</v>
      </c>
      <c r="S96" s="6" t="s">
        <v>70</v>
      </c>
      <c r="T96" s="11">
        <f t="shared" si="20"/>
        <v>523807.57</v>
      </c>
    </row>
    <row r="97" spans="1:20" x14ac:dyDescent="0.25">
      <c r="A97" s="6" t="s">
        <v>28</v>
      </c>
      <c r="B97" s="6" t="s">
        <v>63</v>
      </c>
      <c r="C97" s="6" t="s">
        <v>44</v>
      </c>
      <c r="D97" s="6" t="s">
        <v>22</v>
      </c>
      <c r="E97" s="6" t="s">
        <v>35</v>
      </c>
      <c r="F97" s="7">
        <v>40750</v>
      </c>
      <c r="G97" s="8">
        <f t="shared" si="18"/>
        <v>2011</v>
      </c>
      <c r="H97" s="9">
        <v>512878119</v>
      </c>
      <c r="I97" s="7">
        <v>40789</v>
      </c>
      <c r="J97" s="10">
        <v>888</v>
      </c>
      <c r="K97" s="9">
        <v>109.28</v>
      </c>
      <c r="L97" s="9">
        <v>35.840000000000003</v>
      </c>
      <c r="M97" s="11">
        <v>97040.639999999999</v>
      </c>
      <c r="N97" s="11">
        <v>31825.919999999998</v>
      </c>
      <c r="O97" s="11">
        <v>65214.720000000001</v>
      </c>
      <c r="S97" s="6" t="s">
        <v>85</v>
      </c>
      <c r="T97" s="11">
        <f t="shared" si="20"/>
        <v>380512.96</v>
      </c>
    </row>
    <row r="98" spans="1:20" x14ac:dyDescent="0.25">
      <c r="A98" s="6" t="s">
        <v>41</v>
      </c>
      <c r="B98" s="6" t="s">
        <v>113</v>
      </c>
      <c r="C98" s="6" t="s">
        <v>30</v>
      </c>
      <c r="D98" s="6" t="s">
        <v>17</v>
      </c>
      <c r="E98" s="6" t="s">
        <v>27</v>
      </c>
      <c r="F98" s="7">
        <v>40858</v>
      </c>
      <c r="G98" s="8">
        <f t="shared" si="18"/>
        <v>2011</v>
      </c>
      <c r="H98" s="9">
        <v>810711038</v>
      </c>
      <c r="I98" s="7">
        <v>40905</v>
      </c>
      <c r="J98" s="10">
        <v>6267</v>
      </c>
      <c r="K98" s="9">
        <v>9.33</v>
      </c>
      <c r="L98" s="9">
        <v>6.92</v>
      </c>
      <c r="M98" s="11">
        <v>58471.11</v>
      </c>
      <c r="N98" s="11">
        <v>43367.64</v>
      </c>
      <c r="O98" s="11">
        <v>15103.47</v>
      </c>
      <c r="S98" s="6" t="s">
        <v>96</v>
      </c>
      <c r="T98" s="11">
        <f t="shared" si="20"/>
        <v>272410.45</v>
      </c>
    </row>
    <row r="99" spans="1:20" x14ac:dyDescent="0.25">
      <c r="A99" s="6" t="s">
        <v>28</v>
      </c>
      <c r="B99" s="6" t="s">
        <v>84</v>
      </c>
      <c r="C99" s="6" t="s">
        <v>37</v>
      </c>
      <c r="D99" s="6" t="s">
        <v>17</v>
      </c>
      <c r="E99" s="6" t="s">
        <v>23</v>
      </c>
      <c r="F99" s="7">
        <v>42522</v>
      </c>
      <c r="G99" s="8">
        <f t="shared" si="18"/>
        <v>2016</v>
      </c>
      <c r="H99" s="9">
        <v>728815257</v>
      </c>
      <c r="I99" s="7">
        <v>42550</v>
      </c>
      <c r="J99" s="10">
        <v>1485</v>
      </c>
      <c r="K99" s="9">
        <v>154.06</v>
      </c>
      <c r="L99" s="9">
        <v>90.93</v>
      </c>
      <c r="M99" s="11">
        <v>228779.1</v>
      </c>
      <c r="N99" s="11">
        <v>135031.04999999999</v>
      </c>
      <c r="O99" s="11">
        <v>93748.05</v>
      </c>
      <c r="S99" s="6" t="s">
        <v>69</v>
      </c>
      <c r="T99" s="11">
        <f t="shared" si="20"/>
        <v>6052890.8600000003</v>
      </c>
    </row>
    <row r="100" spans="1:20" x14ac:dyDescent="0.25">
      <c r="A100" s="6" t="s">
        <v>98</v>
      </c>
      <c r="B100" s="6" t="s">
        <v>99</v>
      </c>
      <c r="C100" s="6" t="s">
        <v>39</v>
      </c>
      <c r="D100" s="6" t="s">
        <v>17</v>
      </c>
      <c r="E100" s="6" t="s">
        <v>35</v>
      </c>
      <c r="F100" s="7">
        <v>42215</v>
      </c>
      <c r="G100" s="8">
        <f t="shared" si="18"/>
        <v>2015</v>
      </c>
      <c r="H100" s="9">
        <v>559427106</v>
      </c>
      <c r="I100" s="7">
        <v>42224</v>
      </c>
      <c r="J100" s="10">
        <v>5767</v>
      </c>
      <c r="K100" s="9">
        <v>81.73</v>
      </c>
      <c r="L100" s="9">
        <v>56.67</v>
      </c>
      <c r="M100" s="11">
        <v>471336.91</v>
      </c>
      <c r="N100" s="11">
        <v>326815.89</v>
      </c>
      <c r="O100" s="11">
        <v>144521.01999999999</v>
      </c>
      <c r="S100" s="6" t="s">
        <v>54</v>
      </c>
      <c r="T100" s="11">
        <f t="shared" si="20"/>
        <v>2492526.12</v>
      </c>
    </row>
    <row r="101" spans="1:20" x14ac:dyDescent="0.25">
      <c r="A101" s="6" t="s">
        <v>28</v>
      </c>
      <c r="B101" s="6" t="s">
        <v>114</v>
      </c>
      <c r="C101" s="6" t="s">
        <v>34</v>
      </c>
      <c r="D101" s="6" t="s">
        <v>17</v>
      </c>
      <c r="E101" s="6" t="s">
        <v>27</v>
      </c>
      <c r="F101" s="7">
        <v>40949</v>
      </c>
      <c r="G101" s="8">
        <f t="shared" si="18"/>
        <v>2012</v>
      </c>
      <c r="H101" s="9">
        <v>665095412</v>
      </c>
      <c r="I101" s="7">
        <v>40954</v>
      </c>
      <c r="J101" s="10">
        <v>5367</v>
      </c>
      <c r="K101" s="9">
        <v>668.27</v>
      </c>
      <c r="L101" s="9">
        <v>502.54</v>
      </c>
      <c r="M101" s="11">
        <v>3586605.09</v>
      </c>
      <c r="N101" s="11">
        <v>2697132.18</v>
      </c>
      <c r="O101" s="11">
        <v>889472.91</v>
      </c>
      <c r="S101" s="6" t="s">
        <v>100</v>
      </c>
      <c r="T101" s="11">
        <f t="shared" si="20"/>
        <v>445033.55</v>
      </c>
    </row>
    <row r="102" spans="1:20" x14ac:dyDescent="0.25">
      <c r="J102" s="16">
        <f>SUM(J2:J101)</f>
        <v>512871</v>
      </c>
      <c r="L102" s="17">
        <f>SUM(L2:L101)</f>
        <v>19104.800000000007</v>
      </c>
      <c r="M102" s="17">
        <f t="shared" ref="M102:O102" si="25">SUM(M2:M101)</f>
        <v>137348768.30999997</v>
      </c>
      <c r="N102" s="17">
        <f t="shared" si="25"/>
        <v>93180569.909999982</v>
      </c>
      <c r="O102" s="17">
        <f t="shared" si="25"/>
        <v>44168198.399999991</v>
      </c>
      <c r="S102" s="6" t="s">
        <v>86</v>
      </c>
      <c r="T102" s="11">
        <f t="shared" si="20"/>
        <v>1082418.3999999999</v>
      </c>
    </row>
    <row r="103" spans="1:20" x14ac:dyDescent="0.25">
      <c r="S103" s="6" t="s">
        <v>61</v>
      </c>
      <c r="T103" s="11">
        <f t="shared" si="20"/>
        <v>793518</v>
      </c>
    </row>
    <row r="104" spans="1:20" x14ac:dyDescent="0.25">
      <c r="S104" s="6" t="s">
        <v>92</v>
      </c>
      <c r="T104" s="11">
        <f t="shared" si="20"/>
        <v>707454.88</v>
      </c>
    </row>
    <row r="105" spans="1:20" x14ac:dyDescent="0.25">
      <c r="S105" s="6" t="s">
        <v>20</v>
      </c>
      <c r="T105" s="11">
        <f t="shared" si="20"/>
        <v>576782.80000000005</v>
      </c>
    </row>
    <row r="106" spans="1:20" x14ac:dyDescent="0.25">
      <c r="S106" s="6" t="s">
        <v>91</v>
      </c>
      <c r="T106" s="11">
        <f t="shared" si="20"/>
        <v>745426</v>
      </c>
    </row>
    <row r="107" spans="1:20" x14ac:dyDescent="0.25">
      <c r="S107" s="6" t="s">
        <v>46</v>
      </c>
      <c r="T107" s="11">
        <f t="shared" si="20"/>
        <v>6336545.4800000004</v>
      </c>
    </row>
    <row r="108" spans="1:20" x14ac:dyDescent="0.25">
      <c r="S108" s="6" t="s">
        <v>78</v>
      </c>
      <c r="T108" s="11">
        <f t="shared" si="20"/>
        <v>3876652.4</v>
      </c>
    </row>
    <row r="109" spans="1:20" x14ac:dyDescent="0.25">
      <c r="S109" s="6" t="s">
        <v>106</v>
      </c>
      <c r="T109" s="11">
        <f t="shared" si="20"/>
        <v>2836990.8</v>
      </c>
    </row>
    <row r="110" spans="1:20" x14ac:dyDescent="0.25">
      <c r="S110" s="6" t="s">
        <v>108</v>
      </c>
      <c r="T110" s="11">
        <f t="shared" si="20"/>
        <v>994765.42</v>
      </c>
    </row>
    <row r="111" spans="1:20" x14ac:dyDescent="0.25">
      <c r="S111" s="6" t="s">
        <v>62</v>
      </c>
      <c r="T111" s="11">
        <f t="shared" si="20"/>
        <v>50363.34</v>
      </c>
    </row>
    <row r="112" spans="1:20" x14ac:dyDescent="0.25">
      <c r="S112" s="6" t="s">
        <v>109</v>
      </c>
      <c r="T112" s="11">
        <f t="shared" si="20"/>
        <v>4870.26</v>
      </c>
    </row>
    <row r="113" spans="19:20" x14ac:dyDescent="0.25">
      <c r="S113" s="6" t="s">
        <v>42</v>
      </c>
      <c r="T113" s="11">
        <f t="shared" si="20"/>
        <v>19103.439999999999</v>
      </c>
    </row>
    <row r="114" spans="19:20" x14ac:dyDescent="0.25">
      <c r="S114" s="6" t="s">
        <v>101</v>
      </c>
      <c r="T114" s="11">
        <f t="shared" si="20"/>
        <v>574951.92000000004</v>
      </c>
    </row>
    <row r="115" spans="19:20" x14ac:dyDescent="0.25">
      <c r="S115" s="6" t="s">
        <v>105</v>
      </c>
      <c r="T115" s="11">
        <f t="shared" si="20"/>
        <v>861563.52</v>
      </c>
    </row>
    <row r="116" spans="19:20" x14ac:dyDescent="0.25">
      <c r="S116" s="6" t="s">
        <v>82</v>
      </c>
      <c r="T116" s="11">
        <f t="shared" si="20"/>
        <v>89623.98</v>
      </c>
    </row>
    <row r="117" spans="19:20" x14ac:dyDescent="0.25">
      <c r="S117" s="6" t="s">
        <v>90</v>
      </c>
      <c r="T117" s="11">
        <f t="shared" si="20"/>
        <v>674635.57</v>
      </c>
    </row>
    <row r="118" spans="19:20" x14ac:dyDescent="0.25">
      <c r="S118" s="6" t="s">
        <v>94</v>
      </c>
      <c r="T118" s="11">
        <f t="shared" si="20"/>
        <v>5396577.2699999996</v>
      </c>
    </row>
    <row r="119" spans="19:20" x14ac:dyDescent="0.25">
      <c r="S119" s="6" t="s">
        <v>79</v>
      </c>
      <c r="T119" s="11">
        <f t="shared" si="20"/>
        <v>856973.76</v>
      </c>
    </row>
    <row r="120" spans="19:20" x14ac:dyDescent="0.25">
      <c r="S120" s="6" t="s">
        <v>95</v>
      </c>
      <c r="T120" s="11">
        <f t="shared" si="20"/>
        <v>802333.76</v>
      </c>
    </row>
    <row r="121" spans="19:20" x14ac:dyDescent="0.25">
      <c r="S121" s="6" t="s">
        <v>113</v>
      </c>
      <c r="T121" s="11">
        <f t="shared" si="20"/>
        <v>58471.11</v>
      </c>
    </row>
    <row r="122" spans="19:20" x14ac:dyDescent="0.25">
      <c r="S122" s="6" t="s">
        <v>63</v>
      </c>
      <c r="T122" s="11">
        <f t="shared" si="20"/>
        <v>151359.9</v>
      </c>
    </row>
    <row r="123" spans="19:20" x14ac:dyDescent="0.25">
      <c r="S123" s="6" t="s">
        <v>80</v>
      </c>
      <c r="T123" s="11">
        <f t="shared" si="20"/>
        <v>824431.86</v>
      </c>
    </row>
    <row r="124" spans="19:20" x14ac:dyDescent="0.25">
      <c r="S124" s="6" t="s">
        <v>99</v>
      </c>
      <c r="T124" s="11">
        <f t="shared" si="20"/>
        <v>5643356.5500000007</v>
      </c>
    </row>
    <row r="125" spans="19:20" x14ac:dyDescent="0.25">
      <c r="S125" s="6" t="s">
        <v>60</v>
      </c>
      <c r="T125" s="11">
        <f t="shared" si="20"/>
        <v>414371.1</v>
      </c>
    </row>
    <row r="126" spans="19:20" x14ac:dyDescent="0.25">
      <c r="S126" s="6" t="s">
        <v>102</v>
      </c>
      <c r="T126" s="11">
        <f t="shared" si="20"/>
        <v>2198981.92</v>
      </c>
    </row>
    <row r="127" spans="19:20" x14ac:dyDescent="0.25">
      <c r="S127" s="6" t="s">
        <v>47</v>
      </c>
      <c r="T127" s="11">
        <f t="shared" si="20"/>
        <v>400558.73</v>
      </c>
    </row>
    <row r="128" spans="19:20" x14ac:dyDescent="0.25">
      <c r="S128" s="6" t="s">
        <v>114</v>
      </c>
      <c r="T128" s="11">
        <f t="shared" si="20"/>
        <v>3586605.09</v>
      </c>
    </row>
    <row r="129" spans="19:20" x14ac:dyDescent="0.25">
      <c r="S129" s="6" t="s">
        <v>68</v>
      </c>
      <c r="T129" s="11">
        <f t="shared" si="20"/>
        <v>6161257.9000000004</v>
      </c>
    </row>
    <row r="130" spans="19:20" x14ac:dyDescent="0.25">
      <c r="S130" s="6" t="s">
        <v>59</v>
      </c>
      <c r="T130" s="11">
        <f t="shared" si="20"/>
        <v>20404.71</v>
      </c>
    </row>
    <row r="131" spans="19:20" x14ac:dyDescent="0.25">
      <c r="S131" s="6" t="s">
        <v>112</v>
      </c>
      <c r="T131" s="11">
        <f t="shared" si="20"/>
        <v>387002.2</v>
      </c>
    </row>
    <row r="132" spans="19:20" x14ac:dyDescent="0.25">
      <c r="S132" s="6" t="s">
        <v>74</v>
      </c>
      <c r="T132" s="11">
        <f t="shared" si="20"/>
        <v>246415.95</v>
      </c>
    </row>
    <row r="133" spans="19:20" x14ac:dyDescent="0.25">
      <c r="S133" s="6" t="s">
        <v>56</v>
      </c>
      <c r="T133" s="11">
        <f t="shared" si="20"/>
        <v>2144969.7999999998</v>
      </c>
    </row>
    <row r="134" spans="19:20" x14ac:dyDescent="0.25">
      <c r="S134" s="6" t="s">
        <v>97</v>
      </c>
      <c r="T134" s="11">
        <f t="shared" si="20"/>
        <v>4324782.4000000004</v>
      </c>
    </row>
    <row r="135" spans="19:20" x14ac:dyDescent="0.25">
      <c r="S135" s="6" t="s">
        <v>57</v>
      </c>
      <c r="T135" s="11">
        <f t="shared" si="20"/>
        <v>324971.44</v>
      </c>
    </row>
    <row r="136" spans="19:20" x14ac:dyDescent="0.25">
      <c r="S136" s="6" t="s">
        <v>38</v>
      </c>
      <c r="T136" s="11">
        <f t="shared" si="20"/>
        <v>496101.1</v>
      </c>
    </row>
    <row r="137" spans="19:20" x14ac:dyDescent="0.25">
      <c r="S137" s="6" t="s">
        <v>111</v>
      </c>
      <c r="T137" s="11">
        <f t="shared" si="20"/>
        <v>3458252</v>
      </c>
    </row>
    <row r="138" spans="19:20" x14ac:dyDescent="0.25">
      <c r="S138" s="6" t="s">
        <v>25</v>
      </c>
      <c r="T138" s="11">
        <f t="shared" si="20"/>
        <v>1158502.5900000001</v>
      </c>
    </row>
    <row r="139" spans="19:20" x14ac:dyDescent="0.25">
      <c r="S139" s="6" t="s">
        <v>31</v>
      </c>
      <c r="T139" s="11">
        <f t="shared" si="20"/>
        <v>5253769.42</v>
      </c>
    </row>
    <row r="140" spans="19:20" x14ac:dyDescent="0.25">
      <c r="S140" s="6" t="s">
        <v>103</v>
      </c>
      <c r="T140" s="11">
        <f t="shared" si="20"/>
        <v>4220728.8</v>
      </c>
    </row>
    <row r="141" spans="19:20" x14ac:dyDescent="0.25">
      <c r="S141" s="6" t="s">
        <v>89</v>
      </c>
      <c r="T141" s="11">
        <f t="shared" si="20"/>
        <v>1212580</v>
      </c>
    </row>
    <row r="142" spans="19:20" x14ac:dyDescent="0.25">
      <c r="S142" s="6" t="s">
        <v>29</v>
      </c>
      <c r="T142" s="11">
        <f t="shared" si="20"/>
        <v>565780.91999999993</v>
      </c>
    </row>
    <row r="143" spans="19:20" x14ac:dyDescent="0.25">
      <c r="S143" s="6" t="s">
        <v>83</v>
      </c>
      <c r="T143" s="11">
        <f t="shared" si="20"/>
        <v>835759.1</v>
      </c>
    </row>
    <row r="144" spans="19:20" x14ac:dyDescent="0.25">
      <c r="S144" s="6" t="s">
        <v>40</v>
      </c>
      <c r="T144" s="11">
        <f t="shared" si="20"/>
        <v>1356180.1</v>
      </c>
    </row>
    <row r="145" spans="19:20" x14ac:dyDescent="0.25">
      <c r="S145" s="6" t="s">
        <v>84</v>
      </c>
      <c r="T145" s="11">
        <f t="shared" si="20"/>
        <v>3097359.1500000004</v>
      </c>
    </row>
    <row r="146" spans="19:20" x14ac:dyDescent="0.25">
      <c r="S146" s="6" t="s">
        <v>76</v>
      </c>
      <c r="T146" s="11">
        <f t="shared" si="20"/>
        <v>26344.26</v>
      </c>
    </row>
    <row r="147" spans="19:20" x14ac:dyDescent="0.25">
      <c r="S147" s="6" t="s">
        <v>110</v>
      </c>
      <c r="T147" s="11">
        <f>SUMIF($B$2:$B$101,S147,$M$2:$M$101)</f>
        <v>221117</v>
      </c>
    </row>
    <row r="148" spans="19:20" x14ac:dyDescent="0.25">
      <c r="S148" s="6" t="s">
        <v>32</v>
      </c>
      <c r="T148" s="11">
        <f t="shared" ref="T148:T158" si="26">SUMIF($B$2:$B$101,S148,$M$2:$M$101)</f>
        <v>759202.72</v>
      </c>
    </row>
    <row r="149" spans="19:20" x14ac:dyDescent="0.25">
      <c r="S149" s="6" t="s">
        <v>66</v>
      </c>
      <c r="T149" s="11">
        <f t="shared" si="26"/>
        <v>173676.25</v>
      </c>
    </row>
    <row r="150" spans="19:20" x14ac:dyDescent="0.25">
      <c r="S150" s="6" t="s">
        <v>104</v>
      </c>
      <c r="T150" s="11">
        <f t="shared" si="26"/>
        <v>3015902.51</v>
      </c>
    </row>
    <row r="151" spans="19:20" x14ac:dyDescent="0.25">
      <c r="S151" s="6" t="s">
        <v>49</v>
      </c>
      <c r="T151" s="11">
        <f t="shared" si="26"/>
        <v>3039414.4</v>
      </c>
    </row>
    <row r="152" spans="19:20" x14ac:dyDescent="0.25">
      <c r="S152" s="6" t="s">
        <v>65</v>
      </c>
      <c r="T152" s="11">
        <f t="shared" si="26"/>
        <v>3808901.49</v>
      </c>
    </row>
    <row r="153" spans="19:20" x14ac:dyDescent="0.25">
      <c r="S153" s="6" t="s">
        <v>72</v>
      </c>
      <c r="T153" s="11">
        <f t="shared" si="26"/>
        <v>35304.720000000001</v>
      </c>
    </row>
    <row r="154" spans="19:20" x14ac:dyDescent="0.25">
      <c r="S154" s="6" t="s">
        <v>64</v>
      </c>
      <c r="T154" s="11">
        <f t="shared" si="26"/>
        <v>5449517.9499999993</v>
      </c>
    </row>
    <row r="155" spans="19:20" x14ac:dyDescent="0.25">
      <c r="S155" s="6" t="s">
        <v>53</v>
      </c>
      <c r="T155" s="11">
        <f t="shared" si="26"/>
        <v>5822036.2000000002</v>
      </c>
    </row>
    <row r="156" spans="19:20" x14ac:dyDescent="0.25">
      <c r="S156" s="6" t="s">
        <v>15</v>
      </c>
      <c r="T156" s="11">
        <f t="shared" si="26"/>
        <v>2533654</v>
      </c>
    </row>
    <row r="157" spans="19:20" x14ac:dyDescent="0.25">
      <c r="S157" s="6" t="s">
        <v>88</v>
      </c>
      <c r="T157" s="11">
        <f t="shared" si="26"/>
        <v>188452.14</v>
      </c>
    </row>
    <row r="158" spans="19:20" x14ac:dyDescent="0.25">
      <c r="S158" s="6" t="s">
        <v>107</v>
      </c>
      <c r="T158" s="11">
        <f t="shared" si="26"/>
        <v>623289.30000000005</v>
      </c>
    </row>
    <row r="159" spans="19:20" x14ac:dyDescent="0.25">
      <c r="S159" s="12" t="s">
        <v>127</v>
      </c>
      <c r="T159" s="17">
        <f>SUBTOTAL(9,T83:T158)</f>
        <v>137348768.31</v>
      </c>
    </row>
    <row r="161" spans="19:21" x14ac:dyDescent="0.25">
      <c r="S161" s="69" t="s">
        <v>143</v>
      </c>
      <c r="T161" s="69"/>
      <c r="U161" s="69"/>
    </row>
    <row r="162" spans="19:21" x14ac:dyDescent="0.25">
      <c r="S162" s="12" t="s">
        <v>115</v>
      </c>
      <c r="T162" s="19" t="s">
        <v>126</v>
      </c>
      <c r="U162" s="12" t="s">
        <v>130</v>
      </c>
    </row>
    <row r="163" spans="19:21" x14ac:dyDescent="0.25">
      <c r="S163" s="8">
        <v>2010</v>
      </c>
      <c r="T163" s="18">
        <f>SUMIF($G$2:$G$101,S163,$M$2:$M$101)</f>
        <v>19186024.920000002</v>
      </c>
      <c r="U163" s="23">
        <f>((T163-T163)/T163)*100</f>
        <v>0</v>
      </c>
    </row>
    <row r="164" spans="19:21" x14ac:dyDescent="0.25">
      <c r="S164" s="8">
        <v>2011</v>
      </c>
      <c r="T164" s="18">
        <f t="shared" ref="T164:T170" si="27">SUMIF($G$2:$G$101,S164,$M$2:$M$101)</f>
        <v>11129166.07</v>
      </c>
      <c r="U164" s="23">
        <f>((T164-T163)/T163)*100</f>
        <v>-41.99337217372905</v>
      </c>
    </row>
    <row r="165" spans="19:21" x14ac:dyDescent="0.25">
      <c r="S165" s="8">
        <v>2012</v>
      </c>
      <c r="T165" s="18">
        <f t="shared" si="27"/>
        <v>31898644.52</v>
      </c>
      <c r="U165" s="23">
        <f t="shared" ref="U165:U170" si="28">((T165-T164)/T164)*100</f>
        <v>186.62205523185261</v>
      </c>
    </row>
    <row r="166" spans="19:21" x14ac:dyDescent="0.25">
      <c r="S166" s="8">
        <v>2013</v>
      </c>
      <c r="T166" s="18">
        <f t="shared" si="27"/>
        <v>20330448.66</v>
      </c>
      <c r="U166" s="23">
        <f t="shared" si="28"/>
        <v>-36.265477841062818</v>
      </c>
    </row>
    <row r="167" spans="19:21" x14ac:dyDescent="0.25">
      <c r="S167" s="8">
        <v>2014</v>
      </c>
      <c r="T167" s="18">
        <f t="shared" si="27"/>
        <v>16630214.430000002</v>
      </c>
      <c r="U167" s="23">
        <f t="shared" si="28"/>
        <v>-18.2004553459766</v>
      </c>
    </row>
    <row r="168" spans="19:21" x14ac:dyDescent="0.25">
      <c r="S168" s="8">
        <v>2015</v>
      </c>
      <c r="T168" s="18">
        <f t="shared" si="27"/>
        <v>12427982.860000001</v>
      </c>
      <c r="U168" s="23">
        <f t="shared" si="28"/>
        <v>-25.26865536032658</v>
      </c>
    </row>
    <row r="169" spans="19:21" x14ac:dyDescent="0.25">
      <c r="S169" s="8">
        <v>2016</v>
      </c>
      <c r="T169" s="18">
        <f t="shared" si="27"/>
        <v>12372867.219999999</v>
      </c>
      <c r="U169" s="23">
        <f t="shared" si="28"/>
        <v>-0.44348017390170791</v>
      </c>
    </row>
    <row r="170" spans="19:21" x14ac:dyDescent="0.25">
      <c r="S170" s="8">
        <v>2017</v>
      </c>
      <c r="T170" s="18">
        <f t="shared" si="27"/>
        <v>13373419.629999999</v>
      </c>
      <c r="U170" s="23">
        <f t="shared" si="28"/>
        <v>8.0866657033437406</v>
      </c>
    </row>
    <row r="171" spans="19:21" x14ac:dyDescent="0.25">
      <c r="S171" s="12" t="s">
        <v>127</v>
      </c>
      <c r="T171" s="29">
        <f>SUM(T163:T170)</f>
        <v>137348768.31</v>
      </c>
      <c r="U171" s="6"/>
    </row>
  </sheetData>
  <autoFilter ref="A1:O102" xr:uid="{94D4A07C-5D79-4258-A4E1-8C7BD9F60BD2}"/>
  <sortState xmlns:xlrd2="http://schemas.microsoft.com/office/spreadsheetml/2017/richdata2" ref="S17:S24">
    <sortCondition ref="S17:S24"/>
  </sortState>
  <mergeCells count="9">
    <mergeCell ref="S27:AA27"/>
    <mergeCell ref="S15:T15"/>
    <mergeCell ref="S161:U161"/>
    <mergeCell ref="U81:W81"/>
    <mergeCell ref="U87:W87"/>
    <mergeCell ref="S81:T81"/>
    <mergeCell ref="S70:T70"/>
    <mergeCell ref="S54:V54"/>
    <mergeCell ref="S43:U43"/>
  </mergeCells>
  <pageMargins left="0.7" right="0.7" top="0.75" bottom="0.75" header="0.3" footer="0.3"/>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90E45-338C-4DCF-82A8-70D4278BEAC6}">
  <sheetPr>
    <tabColor rgb="FF00B0F0"/>
  </sheetPr>
  <dimension ref="A3:J70"/>
  <sheetViews>
    <sheetView workbookViewId="0">
      <selection activeCell="G57" sqref="G57"/>
    </sheetView>
  </sheetViews>
  <sheetFormatPr defaultRowHeight="15" x14ac:dyDescent="0.25"/>
  <cols>
    <col min="1" max="1" width="32.42578125" bestFit="1" customWidth="1"/>
    <col min="2" max="2" width="15.28515625" bestFit="1" customWidth="1"/>
    <col min="3" max="9" width="10.5703125" bestFit="1" customWidth="1"/>
    <col min="10" max="10" width="11.5703125" bestFit="1" customWidth="1"/>
  </cols>
  <sheetData>
    <row r="3" spans="1:2" ht="30" x14ac:dyDescent="0.25">
      <c r="A3" s="41" t="s">
        <v>1</v>
      </c>
      <c r="B3" s="37" t="s">
        <v>123</v>
      </c>
    </row>
    <row r="4" spans="1:2" x14ac:dyDescent="0.25">
      <c r="A4" s="34" t="s">
        <v>41</v>
      </c>
      <c r="B4" s="35">
        <v>6113845.8700000001</v>
      </c>
    </row>
    <row r="5" spans="1:2" x14ac:dyDescent="0.25">
      <c r="A5" s="34" t="s">
        <v>14</v>
      </c>
      <c r="B5" s="35">
        <v>4722160.03</v>
      </c>
    </row>
    <row r="6" spans="1:2" x14ac:dyDescent="0.25">
      <c r="A6" s="34" t="s">
        <v>19</v>
      </c>
      <c r="B6" s="35">
        <v>2846907.85</v>
      </c>
    </row>
    <row r="7" spans="1:2" x14ac:dyDescent="0.25">
      <c r="A7" s="34" t="s">
        <v>24</v>
      </c>
      <c r="B7" s="35">
        <v>11082938.629999999</v>
      </c>
    </row>
    <row r="8" spans="1:2" x14ac:dyDescent="0.25">
      <c r="A8" s="34" t="s">
        <v>71</v>
      </c>
      <c r="B8" s="35">
        <v>5761191.8599999994</v>
      </c>
    </row>
    <row r="9" spans="1:2" x14ac:dyDescent="0.25">
      <c r="A9" s="34" t="s">
        <v>98</v>
      </c>
      <c r="B9" s="35">
        <v>1457942.76</v>
      </c>
    </row>
    <row r="10" spans="1:2" x14ac:dyDescent="0.25">
      <c r="A10" s="34" t="s">
        <v>28</v>
      </c>
      <c r="B10" s="35">
        <v>12183211.400000004</v>
      </c>
    </row>
    <row r="11" spans="1:2" x14ac:dyDescent="0.25">
      <c r="A11" s="34" t="s">
        <v>145</v>
      </c>
      <c r="B11" s="35">
        <v>44168198.400000006</v>
      </c>
    </row>
    <row r="15" spans="1:2" ht="30" x14ac:dyDescent="0.25">
      <c r="A15" s="41" t="s">
        <v>115</v>
      </c>
      <c r="B15" s="37" t="s">
        <v>122</v>
      </c>
    </row>
    <row r="16" spans="1:2" x14ac:dyDescent="0.25">
      <c r="A16" s="36">
        <v>2010</v>
      </c>
      <c r="B16" s="35">
        <v>19186024.920000002</v>
      </c>
    </row>
    <row r="17" spans="1:10" x14ac:dyDescent="0.25">
      <c r="A17" s="36">
        <v>2011</v>
      </c>
      <c r="B17" s="35">
        <v>11129166.07</v>
      </c>
    </row>
    <row r="18" spans="1:10" x14ac:dyDescent="0.25">
      <c r="A18" s="36">
        <v>2012</v>
      </c>
      <c r="B18" s="35">
        <v>31898644.52</v>
      </c>
    </row>
    <row r="19" spans="1:10" x14ac:dyDescent="0.25">
      <c r="A19" s="36">
        <v>2013</v>
      </c>
      <c r="B19" s="35">
        <v>20330448.66</v>
      </c>
    </row>
    <row r="20" spans="1:10" x14ac:dyDescent="0.25">
      <c r="A20" s="36">
        <v>2014</v>
      </c>
      <c r="B20" s="35">
        <v>16630214.430000002</v>
      </c>
    </row>
    <row r="21" spans="1:10" x14ac:dyDescent="0.25">
      <c r="A21" s="36">
        <v>2015</v>
      </c>
      <c r="B21" s="35">
        <v>12427982.860000001</v>
      </c>
    </row>
    <row r="22" spans="1:10" x14ac:dyDescent="0.25">
      <c r="A22" s="36">
        <v>2016</v>
      </c>
      <c r="B22" s="35">
        <v>12372867.219999999</v>
      </c>
    </row>
    <row r="23" spans="1:10" x14ac:dyDescent="0.25">
      <c r="A23" s="36">
        <v>2017</v>
      </c>
      <c r="B23" s="35">
        <v>13373419.629999999</v>
      </c>
    </row>
    <row r="24" spans="1:10" x14ac:dyDescent="0.25">
      <c r="A24" s="36" t="s">
        <v>145</v>
      </c>
      <c r="B24" s="35">
        <v>137348768.31</v>
      </c>
    </row>
    <row r="28" spans="1:10" x14ac:dyDescent="0.25">
      <c r="A28" s="33" t="s">
        <v>121</v>
      </c>
      <c r="B28" s="33" t="s">
        <v>146</v>
      </c>
      <c r="C28" s="6"/>
      <c r="D28" s="6"/>
      <c r="E28" s="6"/>
      <c r="F28" s="6"/>
      <c r="G28" s="6"/>
      <c r="H28" s="6"/>
      <c r="I28" s="6"/>
      <c r="J28" s="6"/>
    </row>
    <row r="29" spans="1:10" x14ac:dyDescent="0.25">
      <c r="A29" s="33" t="s">
        <v>144</v>
      </c>
      <c r="B29" s="8">
        <v>2010</v>
      </c>
      <c r="C29" s="8">
        <v>2011</v>
      </c>
      <c r="D29" s="8">
        <v>2012</v>
      </c>
      <c r="E29" s="8">
        <v>2013</v>
      </c>
      <c r="F29" s="8">
        <v>2014</v>
      </c>
      <c r="G29" s="8">
        <v>2015</v>
      </c>
      <c r="H29" s="8">
        <v>2016</v>
      </c>
      <c r="I29" s="8">
        <v>2017</v>
      </c>
      <c r="J29" s="8" t="s">
        <v>145</v>
      </c>
    </row>
    <row r="30" spans="1:10" x14ac:dyDescent="0.25">
      <c r="A30" s="34" t="s">
        <v>16</v>
      </c>
      <c r="B30" s="35">
        <v>9925</v>
      </c>
      <c r="C30" s="35"/>
      <c r="D30" s="35">
        <v>8614</v>
      </c>
      <c r="E30" s="35">
        <v>4750</v>
      </c>
      <c r="F30" s="35">
        <v>13009</v>
      </c>
      <c r="G30" s="35">
        <v>4247</v>
      </c>
      <c r="H30" s="35"/>
      <c r="I30" s="35"/>
      <c r="J30" s="35">
        <v>40545</v>
      </c>
    </row>
    <row r="31" spans="1:10" x14ac:dyDescent="0.25">
      <c r="A31" s="34" t="s">
        <v>52</v>
      </c>
      <c r="B31" s="35"/>
      <c r="C31" s="35">
        <v>22726</v>
      </c>
      <c r="D31" s="35"/>
      <c r="E31" s="35"/>
      <c r="F31" s="35">
        <v>23892</v>
      </c>
      <c r="G31" s="35">
        <v>5430</v>
      </c>
      <c r="H31" s="35">
        <v>4660</v>
      </c>
      <c r="I31" s="35"/>
      <c r="J31" s="35">
        <v>56708</v>
      </c>
    </row>
    <row r="32" spans="1:10" x14ac:dyDescent="0.25">
      <c r="A32" s="34" t="s">
        <v>21</v>
      </c>
      <c r="B32" s="35"/>
      <c r="C32" s="35"/>
      <c r="D32" s="35">
        <v>4921</v>
      </c>
      <c r="E32" s="35">
        <v>4745</v>
      </c>
      <c r="F32" s="35">
        <v>6593</v>
      </c>
      <c r="G32" s="35"/>
      <c r="H32" s="35">
        <v>962</v>
      </c>
      <c r="I32" s="35">
        <v>8656</v>
      </c>
      <c r="J32" s="35">
        <v>25877</v>
      </c>
    </row>
    <row r="33" spans="1:10" x14ac:dyDescent="0.25">
      <c r="A33" s="34" t="s">
        <v>44</v>
      </c>
      <c r="B33" s="35">
        <v>18290</v>
      </c>
      <c r="C33" s="35">
        <v>888</v>
      </c>
      <c r="D33" s="35">
        <v>13039</v>
      </c>
      <c r="E33" s="35"/>
      <c r="F33" s="35">
        <v>12010</v>
      </c>
      <c r="G33" s="35">
        <v>13272</v>
      </c>
      <c r="H33" s="35">
        <v>5498</v>
      </c>
      <c r="I33" s="35">
        <v>8263</v>
      </c>
      <c r="J33" s="35">
        <v>71260</v>
      </c>
    </row>
    <row r="34" spans="1:10" x14ac:dyDescent="0.25">
      <c r="A34" s="34" t="s">
        <v>50</v>
      </c>
      <c r="B34" s="35">
        <v>15144</v>
      </c>
      <c r="C34" s="35"/>
      <c r="D34" s="35">
        <v>8661</v>
      </c>
      <c r="E34" s="35">
        <v>25728</v>
      </c>
      <c r="F34" s="35">
        <v>7215</v>
      </c>
      <c r="G34" s="35">
        <v>2847</v>
      </c>
      <c r="H34" s="35">
        <v>22308</v>
      </c>
      <c r="I34" s="35">
        <v>1815</v>
      </c>
      <c r="J34" s="35">
        <v>83718</v>
      </c>
    </row>
    <row r="35" spans="1:10" x14ac:dyDescent="0.25">
      <c r="A35" s="34" t="s">
        <v>30</v>
      </c>
      <c r="B35" s="35">
        <v>5822</v>
      </c>
      <c r="C35" s="35">
        <v>10051</v>
      </c>
      <c r="D35" s="35">
        <v>522</v>
      </c>
      <c r="E35" s="35">
        <v>17243</v>
      </c>
      <c r="F35" s="35">
        <v>15687</v>
      </c>
      <c r="G35" s="35">
        <v>673</v>
      </c>
      <c r="H35" s="35"/>
      <c r="I35" s="35"/>
      <c r="J35" s="35">
        <v>49998</v>
      </c>
    </row>
    <row r="36" spans="1:10" x14ac:dyDescent="0.25">
      <c r="A36" s="34" t="s">
        <v>34</v>
      </c>
      <c r="B36" s="35">
        <v>3830</v>
      </c>
      <c r="C36" s="35">
        <v>4187</v>
      </c>
      <c r="D36" s="35">
        <v>12532</v>
      </c>
      <c r="E36" s="35"/>
      <c r="F36" s="35">
        <v>6954</v>
      </c>
      <c r="G36" s="35">
        <v>8250</v>
      </c>
      <c r="H36" s="35"/>
      <c r="I36" s="35">
        <v>8974</v>
      </c>
      <c r="J36" s="35">
        <v>44727</v>
      </c>
    </row>
    <row r="37" spans="1:10" x14ac:dyDescent="0.25">
      <c r="A37" s="34" t="s">
        <v>55</v>
      </c>
      <c r="B37" s="35"/>
      <c r="C37" s="35"/>
      <c r="D37" s="35">
        <v>5908</v>
      </c>
      <c r="E37" s="35"/>
      <c r="F37" s="35"/>
      <c r="G37" s="35"/>
      <c r="H37" s="35"/>
      <c r="I37" s="35">
        <v>4767</v>
      </c>
      <c r="J37" s="35">
        <v>10675</v>
      </c>
    </row>
    <row r="38" spans="1:10" x14ac:dyDescent="0.25">
      <c r="A38" s="34" t="s">
        <v>26</v>
      </c>
      <c r="B38" s="35">
        <v>8287</v>
      </c>
      <c r="C38" s="35">
        <v>8975</v>
      </c>
      <c r="D38" s="35">
        <v>13982</v>
      </c>
      <c r="E38" s="35">
        <v>10072</v>
      </c>
      <c r="F38" s="35">
        <v>1779</v>
      </c>
      <c r="G38" s="35">
        <v>2924</v>
      </c>
      <c r="H38" s="35">
        <v>948</v>
      </c>
      <c r="I38" s="35"/>
      <c r="J38" s="35">
        <v>46967</v>
      </c>
    </row>
    <row r="39" spans="1:10" x14ac:dyDescent="0.25">
      <c r="A39" s="34" t="s">
        <v>39</v>
      </c>
      <c r="B39" s="35">
        <v>273</v>
      </c>
      <c r="C39" s="35"/>
      <c r="D39" s="35">
        <v>15078</v>
      </c>
      <c r="E39" s="35">
        <v>2125</v>
      </c>
      <c r="F39" s="35">
        <v>4901</v>
      </c>
      <c r="G39" s="35">
        <v>11837</v>
      </c>
      <c r="H39" s="35">
        <v>5070</v>
      </c>
      <c r="I39" s="35">
        <v>9424</v>
      </c>
      <c r="J39" s="35">
        <v>48708</v>
      </c>
    </row>
    <row r="40" spans="1:10" x14ac:dyDescent="0.25">
      <c r="A40" s="34" t="s">
        <v>58</v>
      </c>
      <c r="B40" s="35"/>
      <c r="C40" s="35">
        <v>4085</v>
      </c>
      <c r="D40" s="35"/>
      <c r="E40" s="35"/>
      <c r="F40" s="35"/>
      <c r="G40" s="35"/>
      <c r="H40" s="35">
        <v>2225</v>
      </c>
      <c r="I40" s="35">
        <v>7327</v>
      </c>
      <c r="J40" s="35">
        <v>13637</v>
      </c>
    </row>
    <row r="41" spans="1:10" x14ac:dyDescent="0.25">
      <c r="A41" s="34" t="s">
        <v>37</v>
      </c>
      <c r="B41" s="35"/>
      <c r="C41" s="35">
        <v>3856</v>
      </c>
      <c r="D41" s="35">
        <v>14710</v>
      </c>
      <c r="E41" s="35"/>
      <c r="F41" s="35"/>
      <c r="G41" s="35"/>
      <c r="H41" s="35">
        <v>1485</v>
      </c>
      <c r="I41" s="35"/>
      <c r="J41" s="35">
        <v>20051</v>
      </c>
    </row>
    <row r="42" spans="1:10" x14ac:dyDescent="0.25">
      <c r="A42" s="34" t="s">
        <v>145</v>
      </c>
      <c r="B42" s="35">
        <v>61571</v>
      </c>
      <c r="C42" s="35">
        <v>54768</v>
      </c>
      <c r="D42" s="35">
        <v>97967</v>
      </c>
      <c r="E42" s="35">
        <v>64663</v>
      </c>
      <c r="F42" s="35">
        <v>92040</v>
      </c>
      <c r="G42" s="35">
        <v>49480</v>
      </c>
      <c r="H42" s="35">
        <v>43156</v>
      </c>
      <c r="I42" s="35">
        <v>49226</v>
      </c>
      <c r="J42" s="35">
        <v>512871</v>
      </c>
    </row>
    <row r="45" spans="1:10" ht="30" x14ac:dyDescent="0.25">
      <c r="A45" s="41" t="s">
        <v>1</v>
      </c>
      <c r="B45" s="42" t="s">
        <v>148</v>
      </c>
    </row>
    <row r="46" spans="1:10" x14ac:dyDescent="0.25">
      <c r="A46" s="34" t="s">
        <v>41</v>
      </c>
      <c r="B46" s="38">
        <v>0.15542251512455521</v>
      </c>
    </row>
    <row r="47" spans="1:10" x14ac:dyDescent="0.25">
      <c r="A47" s="34" t="s">
        <v>14</v>
      </c>
      <c r="B47" s="38">
        <v>0.10261661100730698</v>
      </c>
    </row>
    <row r="48" spans="1:10" x14ac:dyDescent="0.25">
      <c r="A48" s="34" t="s">
        <v>19</v>
      </c>
      <c r="B48" s="38">
        <v>6.6767147625977866E-2</v>
      </c>
    </row>
    <row r="49" spans="1:2" x14ac:dyDescent="0.25">
      <c r="A49" s="34" t="s">
        <v>24</v>
      </c>
      <c r="B49" s="38">
        <v>0.24295035565725198</v>
      </c>
    </row>
    <row r="50" spans="1:2" x14ac:dyDescent="0.25">
      <c r="A50" s="34" t="s">
        <v>71</v>
      </c>
      <c r="B50" s="38">
        <v>0.10231403421312558</v>
      </c>
    </row>
    <row r="51" spans="1:2" x14ac:dyDescent="0.25">
      <c r="A51" s="34" t="s">
        <v>98</v>
      </c>
      <c r="B51" s="38">
        <v>4.1087784182110662E-2</v>
      </c>
    </row>
    <row r="52" spans="1:2" x14ac:dyDescent="0.25">
      <c r="A52" s="34" t="s">
        <v>28</v>
      </c>
      <c r="B52" s="38">
        <v>0.28884155218967184</v>
      </c>
    </row>
    <row r="53" spans="1:2" x14ac:dyDescent="0.25">
      <c r="A53" s="34" t="s">
        <v>145</v>
      </c>
      <c r="B53" s="38">
        <v>1</v>
      </c>
    </row>
    <row r="55" spans="1:2" ht="13.5" customHeight="1" x14ac:dyDescent="0.25"/>
    <row r="56" spans="1:2" ht="6" hidden="1" customHeight="1" x14ac:dyDescent="0.25"/>
    <row r="57" spans="1:2" ht="33.75" customHeight="1" x14ac:dyDescent="0.25">
      <c r="A57" s="41" t="s">
        <v>147</v>
      </c>
      <c r="B57" s="42" t="s">
        <v>149</v>
      </c>
    </row>
    <row r="58" spans="1:2" x14ac:dyDescent="0.25">
      <c r="A58" s="34" t="s">
        <v>16</v>
      </c>
      <c r="B58" s="35">
        <v>3886643.7</v>
      </c>
    </row>
    <row r="59" spans="1:2" x14ac:dyDescent="0.25">
      <c r="A59" s="34" t="s">
        <v>52</v>
      </c>
      <c r="B59" s="35">
        <v>888047.27999999991</v>
      </c>
    </row>
    <row r="60" spans="1:2" x14ac:dyDescent="0.25">
      <c r="A60" s="34" t="s">
        <v>21</v>
      </c>
      <c r="B60" s="35">
        <v>2292443.4299999997</v>
      </c>
    </row>
    <row r="61" spans="1:2" x14ac:dyDescent="0.25">
      <c r="A61" s="34" t="s">
        <v>44</v>
      </c>
      <c r="B61" s="35">
        <v>5233334.4000000004</v>
      </c>
    </row>
    <row r="62" spans="1:2" x14ac:dyDescent="0.25">
      <c r="A62" s="34" t="s">
        <v>50</v>
      </c>
      <c r="B62" s="35">
        <v>14556048.66</v>
      </c>
    </row>
    <row r="63" spans="1:2" x14ac:dyDescent="0.25">
      <c r="A63" s="34" t="s">
        <v>30</v>
      </c>
      <c r="B63" s="35">
        <v>120495.18</v>
      </c>
    </row>
    <row r="64" spans="1:2" x14ac:dyDescent="0.25">
      <c r="A64" s="34" t="s">
        <v>34</v>
      </c>
      <c r="B64" s="35">
        <v>7412605.7100000009</v>
      </c>
    </row>
    <row r="65" spans="1:2" x14ac:dyDescent="0.25">
      <c r="A65" s="34" t="s">
        <v>55</v>
      </c>
      <c r="B65" s="35">
        <v>610610</v>
      </c>
    </row>
    <row r="66" spans="1:2" x14ac:dyDescent="0.25">
      <c r="A66" s="34" t="s">
        <v>26</v>
      </c>
      <c r="B66" s="35">
        <v>5929583.75</v>
      </c>
    </row>
    <row r="67" spans="1:2" x14ac:dyDescent="0.25">
      <c r="A67" s="34" t="s">
        <v>39</v>
      </c>
      <c r="B67" s="35">
        <v>1220622.48</v>
      </c>
    </row>
    <row r="68" spans="1:2" x14ac:dyDescent="0.25">
      <c r="A68" s="34" t="s">
        <v>58</v>
      </c>
      <c r="B68" s="35">
        <v>751944.18</v>
      </c>
    </row>
    <row r="69" spans="1:2" x14ac:dyDescent="0.25">
      <c r="A69" s="34" t="s">
        <v>37</v>
      </c>
      <c r="B69" s="35">
        <v>1265819.6300000001</v>
      </c>
    </row>
    <row r="70" spans="1:2" x14ac:dyDescent="0.25">
      <c r="A70" s="34" t="s">
        <v>145</v>
      </c>
      <c r="B70" s="35">
        <v>44168198.399999999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36CBA-D969-425A-B205-9507EEFBB2D9}">
  <sheetPr>
    <tabColor rgb="FF7030A0"/>
  </sheetPr>
  <dimension ref="A3:BQ38"/>
  <sheetViews>
    <sheetView topLeftCell="BD10" zoomScale="95" zoomScaleNormal="95" workbookViewId="0">
      <selection activeCell="J13" sqref="J13"/>
    </sheetView>
  </sheetViews>
  <sheetFormatPr defaultRowHeight="15" x14ac:dyDescent="0.25"/>
  <cols>
    <col min="1" max="1" width="32.42578125" bestFit="1" customWidth="1"/>
    <col min="2" max="2" width="23.5703125" bestFit="1" customWidth="1"/>
    <col min="3" max="3" width="20.5703125" bestFit="1" customWidth="1"/>
    <col min="4" max="4" width="7" customWidth="1"/>
    <col min="5" max="5" width="11.5703125" bestFit="1" customWidth="1"/>
    <col min="6" max="6" width="23.5703125" bestFit="1" customWidth="1"/>
    <col min="7" max="7" width="20.5703125" bestFit="1" customWidth="1"/>
    <col min="8" max="8" width="8" customWidth="1"/>
    <col min="9" max="9" width="14.5703125" bestFit="1" customWidth="1"/>
    <col min="10" max="10" width="23.5703125" bestFit="1" customWidth="1"/>
    <col min="11" max="11" width="20.5703125" bestFit="1" customWidth="1"/>
    <col min="12" max="12" width="8.7109375" customWidth="1"/>
    <col min="13" max="13" width="16.85546875" bestFit="1" customWidth="1"/>
    <col min="14" max="14" width="16.42578125" bestFit="1" customWidth="1"/>
    <col min="15" max="21" width="8.140625" bestFit="1" customWidth="1"/>
    <col min="22" max="22" width="11.5703125" customWidth="1"/>
    <col min="23" max="23" width="9.140625" customWidth="1"/>
    <col min="24" max="24" width="32.42578125" bestFit="1" customWidth="1"/>
    <col min="25" max="25" width="10.85546875" bestFit="1" customWidth="1"/>
    <col min="26" max="26" width="8.42578125" bestFit="1" customWidth="1"/>
    <col min="28" max="28" width="11.5703125" bestFit="1" customWidth="1"/>
    <col min="29" max="29" width="10.85546875" bestFit="1" customWidth="1"/>
    <col min="30" max="30" width="8.42578125" bestFit="1" customWidth="1"/>
    <col min="32" max="32" width="14.5703125" bestFit="1" customWidth="1"/>
    <col min="33" max="33" width="10.85546875" bestFit="1" customWidth="1"/>
    <col min="34" max="34" width="8.42578125" bestFit="1" customWidth="1"/>
    <col min="36" max="36" width="11.5703125" bestFit="1" customWidth="1"/>
    <col min="37" max="37" width="27.140625" bestFit="1" customWidth="1"/>
    <col min="38" max="38" width="24.140625" bestFit="1" customWidth="1"/>
    <col min="40" max="40" width="20.42578125" bestFit="1" customWidth="1"/>
    <col min="41" max="41" width="23.5703125" bestFit="1" customWidth="1"/>
    <col min="42" max="42" width="12" customWidth="1"/>
    <col min="43" max="43" width="32.42578125" bestFit="1" customWidth="1"/>
    <col min="44" max="44" width="23.5703125" bestFit="1" customWidth="1"/>
    <col min="46" max="46" width="13.28515625" bestFit="1" customWidth="1"/>
    <col min="47" max="47" width="23.5703125" bestFit="1" customWidth="1"/>
    <col min="49" max="49" width="12.5703125" bestFit="1" customWidth="1"/>
    <col min="50" max="50" width="23.5703125" bestFit="1" customWidth="1"/>
    <col min="52" max="52" width="14.5703125" bestFit="1" customWidth="1"/>
    <col min="53" max="53" width="23.5703125" bestFit="1" customWidth="1"/>
    <col min="55" max="55" width="11.5703125" bestFit="1" customWidth="1"/>
    <col min="56" max="56" width="23.5703125" bestFit="1" customWidth="1"/>
    <col min="58" max="58" width="11.5703125" bestFit="1" customWidth="1"/>
    <col min="59" max="59" width="23.5703125" bestFit="1" customWidth="1"/>
    <col min="61" max="61" width="11.5703125" bestFit="1" customWidth="1"/>
    <col min="62" max="62" width="23.5703125" bestFit="1" customWidth="1"/>
    <col min="64" max="64" width="11.5703125" bestFit="1" customWidth="1"/>
    <col min="65" max="65" width="23.5703125" bestFit="1" customWidth="1"/>
    <col min="66" max="66" width="13.28515625" bestFit="1" customWidth="1"/>
    <col min="68" max="68" width="18.28515625" bestFit="1" customWidth="1"/>
    <col min="69" max="69" width="16.85546875" bestFit="1" customWidth="1"/>
  </cols>
  <sheetData>
    <row r="3" spans="1:69" x14ac:dyDescent="0.25">
      <c r="A3" s="44" t="s">
        <v>0</v>
      </c>
      <c r="B3" t="s">
        <v>122</v>
      </c>
      <c r="C3" t="s">
        <v>123</v>
      </c>
      <c r="E3" s="44" t="s">
        <v>115</v>
      </c>
      <c r="F3" t="s">
        <v>122</v>
      </c>
      <c r="G3" t="s">
        <v>123</v>
      </c>
      <c r="I3" s="44" t="s">
        <v>147</v>
      </c>
      <c r="J3" t="s">
        <v>122</v>
      </c>
      <c r="K3" t="s">
        <v>123</v>
      </c>
      <c r="M3" s="55" t="s">
        <v>121</v>
      </c>
      <c r="N3" s="56" t="s">
        <v>159</v>
      </c>
      <c r="O3" s="57"/>
      <c r="P3" s="57"/>
      <c r="Q3" s="57"/>
      <c r="R3" s="57"/>
      <c r="S3" s="57"/>
      <c r="T3" s="57"/>
      <c r="U3" s="57"/>
      <c r="V3" s="58"/>
      <c r="W3" s="53"/>
      <c r="X3" s="44" t="s">
        <v>0</v>
      </c>
      <c r="Y3" s="53" t="s">
        <v>156</v>
      </c>
      <c r="Z3" s="53" t="s">
        <v>157</v>
      </c>
      <c r="AB3" s="44" t="s">
        <v>115</v>
      </c>
      <c r="AC3" s="53" t="s">
        <v>156</v>
      </c>
      <c r="AD3" s="53" t="s">
        <v>157</v>
      </c>
      <c r="AF3" s="44" t="s">
        <v>147</v>
      </c>
      <c r="AG3" s="53" t="s">
        <v>156</v>
      </c>
      <c r="AH3" s="53" t="s">
        <v>157</v>
      </c>
      <c r="AJ3" s="44" t="s">
        <v>115</v>
      </c>
      <c r="AK3" t="s">
        <v>153</v>
      </c>
      <c r="AL3" t="s">
        <v>154</v>
      </c>
      <c r="AN3" s="44" t="s">
        <v>0</v>
      </c>
      <c r="AO3" t="s">
        <v>122</v>
      </c>
      <c r="AQ3" s="44" t="s">
        <v>0</v>
      </c>
      <c r="AR3" t="s">
        <v>122</v>
      </c>
      <c r="AT3" s="44" t="s">
        <v>1</v>
      </c>
      <c r="AU3" t="s">
        <v>122</v>
      </c>
      <c r="AW3" s="44" t="s">
        <v>1</v>
      </c>
      <c r="AX3" t="s">
        <v>122</v>
      </c>
      <c r="AZ3" s="44" t="s">
        <v>147</v>
      </c>
      <c r="BA3" t="s">
        <v>122</v>
      </c>
      <c r="BC3" s="44" t="s">
        <v>147</v>
      </c>
      <c r="BD3" t="s">
        <v>122</v>
      </c>
      <c r="BF3" s="44" t="s">
        <v>115</v>
      </c>
      <c r="BG3" t="s">
        <v>122</v>
      </c>
      <c r="BI3" s="44" t="s">
        <v>115</v>
      </c>
      <c r="BJ3" t="s">
        <v>122</v>
      </c>
      <c r="BL3" s="44" t="s">
        <v>115</v>
      </c>
      <c r="BM3" t="s">
        <v>122</v>
      </c>
      <c r="BN3" s="54" t="s">
        <v>155</v>
      </c>
      <c r="BP3" s="44" t="s">
        <v>115</v>
      </c>
      <c r="BQ3" t="s">
        <v>121</v>
      </c>
    </row>
    <row r="4" spans="1:69" x14ac:dyDescent="0.25">
      <c r="A4" s="45" t="s">
        <v>41</v>
      </c>
      <c r="B4" s="46">
        <v>21347091.020000003</v>
      </c>
      <c r="C4" s="46">
        <v>6113845.8700000001</v>
      </c>
      <c r="D4" s="46"/>
      <c r="E4" s="47">
        <v>2010</v>
      </c>
      <c r="F4" s="46">
        <v>19186024.920000002</v>
      </c>
      <c r="G4" s="46">
        <v>6629567.4299999997</v>
      </c>
      <c r="I4" s="45" t="s">
        <v>16</v>
      </c>
      <c r="J4" s="46">
        <v>10350327.6</v>
      </c>
      <c r="K4" s="46">
        <v>3886643.7</v>
      </c>
      <c r="L4" s="46"/>
      <c r="M4" s="33" t="s">
        <v>0</v>
      </c>
      <c r="N4" s="59">
        <v>2010</v>
      </c>
      <c r="O4" s="60">
        <v>2011</v>
      </c>
      <c r="P4" s="60">
        <v>2012</v>
      </c>
      <c r="Q4" s="60">
        <v>2013</v>
      </c>
      <c r="R4" s="60">
        <v>2014</v>
      </c>
      <c r="S4" s="60">
        <v>2015</v>
      </c>
      <c r="T4" s="60">
        <v>2016</v>
      </c>
      <c r="U4" s="60">
        <v>2017</v>
      </c>
      <c r="V4" s="61" t="s">
        <v>145</v>
      </c>
      <c r="W4" s="52"/>
      <c r="X4" s="45" t="s">
        <v>41</v>
      </c>
      <c r="Y4" s="52">
        <v>0.15542251512455521</v>
      </c>
      <c r="Z4" s="52">
        <v>0.13842189836749147</v>
      </c>
      <c r="AB4" s="47">
        <v>2010</v>
      </c>
      <c r="AC4" s="52">
        <v>0.13968836529131887</v>
      </c>
      <c r="AD4" s="52">
        <v>0.15009820799029919</v>
      </c>
      <c r="AF4" s="45" t="s">
        <v>16</v>
      </c>
      <c r="AG4" s="52">
        <v>7.5357993576171151E-2</v>
      </c>
      <c r="AH4" s="52">
        <v>8.7996428217457026E-2</v>
      </c>
      <c r="AJ4" s="47">
        <v>2010</v>
      </c>
      <c r="AK4" s="46">
        <v>1918602.4920000001</v>
      </c>
      <c r="AL4" s="46">
        <v>662956.74300000002</v>
      </c>
      <c r="AN4" s="45" t="s">
        <v>28</v>
      </c>
      <c r="AO4" s="46">
        <v>39672031.430000007</v>
      </c>
      <c r="AQ4" s="45" t="s">
        <v>98</v>
      </c>
      <c r="AR4" s="46">
        <v>5643356.5500000007</v>
      </c>
      <c r="AT4" s="45" t="s">
        <v>53</v>
      </c>
      <c r="AU4" s="46">
        <v>5822036.2000000002</v>
      </c>
      <c r="AW4" s="45" t="s">
        <v>109</v>
      </c>
      <c r="AX4" s="46">
        <v>4870.26</v>
      </c>
      <c r="AZ4" s="45" t="s">
        <v>50</v>
      </c>
      <c r="BA4" s="46">
        <v>36601509.600000001</v>
      </c>
      <c r="BC4" s="45" t="s">
        <v>30</v>
      </c>
      <c r="BD4" s="46">
        <v>466481.34</v>
      </c>
      <c r="BF4" s="47">
        <v>2012</v>
      </c>
      <c r="BG4" s="46">
        <v>31898644.52</v>
      </c>
      <c r="BI4" s="47">
        <v>2011</v>
      </c>
      <c r="BJ4" s="46">
        <v>11129166.07</v>
      </c>
      <c r="BL4" s="47">
        <v>2010</v>
      </c>
      <c r="BM4" s="46">
        <v>19186024.920000002</v>
      </c>
      <c r="BN4" s="52"/>
      <c r="BP4" s="47">
        <v>2011</v>
      </c>
      <c r="BQ4" s="48">
        <v>54768</v>
      </c>
    </row>
    <row r="5" spans="1:69" x14ac:dyDescent="0.25">
      <c r="A5" s="45" t="s">
        <v>14</v>
      </c>
      <c r="B5" s="46">
        <v>14094265.130000003</v>
      </c>
      <c r="C5" s="46">
        <v>4722160.03</v>
      </c>
      <c r="D5" s="46"/>
      <c r="E5" s="47">
        <v>2011</v>
      </c>
      <c r="F5" s="46">
        <v>11129166.07</v>
      </c>
      <c r="G5" s="46">
        <v>2741008.2300000004</v>
      </c>
      <c r="I5" s="45" t="s">
        <v>52</v>
      </c>
      <c r="J5" s="46">
        <v>2690794.6</v>
      </c>
      <c r="K5" s="46">
        <v>888047.27999999991</v>
      </c>
      <c r="L5" s="46"/>
      <c r="M5" s="45" t="s">
        <v>16</v>
      </c>
      <c r="N5" s="48">
        <v>9925</v>
      </c>
      <c r="O5" s="48"/>
      <c r="P5" s="48">
        <v>8614</v>
      </c>
      <c r="Q5" s="48">
        <v>4750</v>
      </c>
      <c r="R5" s="48">
        <v>13009</v>
      </c>
      <c r="S5" s="48">
        <v>4247</v>
      </c>
      <c r="T5" s="48"/>
      <c r="U5" s="48"/>
      <c r="V5" s="48">
        <v>40545</v>
      </c>
      <c r="W5" s="52"/>
      <c r="X5" s="45" t="s">
        <v>14</v>
      </c>
      <c r="Y5" s="52">
        <v>0.10261661100730698</v>
      </c>
      <c r="Z5" s="52">
        <v>0.10691312304012834</v>
      </c>
      <c r="AB5" s="47">
        <v>2011</v>
      </c>
      <c r="AC5" s="52">
        <v>8.1028510171137186E-2</v>
      </c>
      <c r="AD5" s="52">
        <v>6.2058411465567058E-2</v>
      </c>
      <c r="AF5" s="45" t="s">
        <v>52</v>
      </c>
      <c r="AG5" s="52">
        <v>1.9590962722918649E-2</v>
      </c>
      <c r="AH5" s="52">
        <v>2.0106033575505763E-2</v>
      </c>
      <c r="AJ5" s="47">
        <v>2011</v>
      </c>
      <c r="AK5" s="46">
        <v>927430.50583333336</v>
      </c>
      <c r="AL5" s="46">
        <v>228417.35250000004</v>
      </c>
      <c r="AN5" s="45" t="s">
        <v>24</v>
      </c>
      <c r="AO5" s="46">
        <v>33368932.109999999</v>
      </c>
      <c r="AQ5" s="45" t="s">
        <v>19</v>
      </c>
      <c r="AR5" s="46">
        <v>9170385.4900000002</v>
      </c>
      <c r="AT5" s="45" t="s">
        <v>69</v>
      </c>
      <c r="AU5" s="46">
        <v>6052890.8600000003</v>
      </c>
      <c r="AW5" s="45" t="s">
        <v>42</v>
      </c>
      <c r="AX5" s="46">
        <v>19103.439999999999</v>
      </c>
      <c r="AZ5" s="45" t="s">
        <v>26</v>
      </c>
      <c r="BA5" s="46">
        <v>30585380.07</v>
      </c>
      <c r="BC5" s="45" t="s">
        <v>58</v>
      </c>
      <c r="BD5" s="46">
        <v>2080733.46</v>
      </c>
      <c r="BF5" s="47">
        <v>2013</v>
      </c>
      <c r="BG5" s="46">
        <v>20330448.66</v>
      </c>
      <c r="BI5" s="47">
        <v>2016</v>
      </c>
      <c r="BJ5" s="46">
        <v>12372867.219999999</v>
      </c>
      <c r="BL5" s="47">
        <v>2011</v>
      </c>
      <c r="BM5" s="46">
        <v>11129166.07</v>
      </c>
      <c r="BN5" s="52">
        <v>-0.41993372173729049</v>
      </c>
      <c r="BP5" s="49" t="s">
        <v>52</v>
      </c>
      <c r="BQ5" s="48">
        <v>22726</v>
      </c>
    </row>
    <row r="6" spans="1:69" x14ac:dyDescent="0.25">
      <c r="A6" s="45" t="s">
        <v>19</v>
      </c>
      <c r="B6" s="46">
        <v>9170385.4900000002</v>
      </c>
      <c r="C6" s="46">
        <v>2846907.85</v>
      </c>
      <c r="D6" s="46"/>
      <c r="E6" s="47">
        <v>2012</v>
      </c>
      <c r="F6" s="46">
        <v>31898644.52</v>
      </c>
      <c r="G6" s="46">
        <v>9213010.120000001</v>
      </c>
      <c r="I6" s="45" t="s">
        <v>21</v>
      </c>
      <c r="J6" s="46">
        <v>5322898.9000000004</v>
      </c>
      <c r="K6" s="46">
        <v>2292443.4299999997</v>
      </c>
      <c r="L6" s="46"/>
      <c r="M6" s="45" t="s">
        <v>52</v>
      </c>
      <c r="N6" s="48"/>
      <c r="O6" s="48">
        <v>22726</v>
      </c>
      <c r="P6" s="48"/>
      <c r="Q6" s="48"/>
      <c r="R6" s="48">
        <v>23892</v>
      </c>
      <c r="S6" s="48">
        <v>5430</v>
      </c>
      <c r="T6" s="48">
        <v>4660</v>
      </c>
      <c r="U6" s="48"/>
      <c r="V6" s="48">
        <v>56708</v>
      </c>
      <c r="W6" s="52"/>
      <c r="X6" s="45" t="s">
        <v>19</v>
      </c>
      <c r="Y6" s="52">
        <v>6.6767147625977866E-2</v>
      </c>
      <c r="Z6" s="52">
        <v>6.4456055558743369E-2</v>
      </c>
      <c r="AB6" s="47">
        <v>2012</v>
      </c>
      <c r="AC6" s="52">
        <v>0.23224558117626412</v>
      </c>
      <c r="AD6" s="52">
        <v>0.20858922151554185</v>
      </c>
      <c r="AF6" s="45" t="s">
        <v>21</v>
      </c>
      <c r="AG6" s="52">
        <v>3.8754616917903981E-2</v>
      </c>
      <c r="AH6" s="52">
        <v>5.1902579526540066E-2</v>
      </c>
      <c r="AJ6" s="47">
        <v>2012</v>
      </c>
      <c r="AK6" s="46">
        <v>1449938.3872727272</v>
      </c>
      <c r="AL6" s="46">
        <v>418773.18727272731</v>
      </c>
      <c r="AN6" s="45" t="s">
        <v>41</v>
      </c>
      <c r="AO6" s="46">
        <v>21347091.020000003</v>
      </c>
      <c r="AQ6" s="45" t="s">
        <v>71</v>
      </c>
      <c r="AR6" s="46">
        <v>14052706.58</v>
      </c>
      <c r="AT6" s="45" t="s">
        <v>68</v>
      </c>
      <c r="AU6" s="46">
        <v>6161257.9000000004</v>
      </c>
      <c r="AW6" s="45" t="s">
        <v>59</v>
      </c>
      <c r="AX6" s="46">
        <v>20404.71</v>
      </c>
      <c r="AZ6" s="45" t="s">
        <v>34</v>
      </c>
      <c r="BA6" s="46">
        <v>29889712.289999995</v>
      </c>
      <c r="BC6" s="45" t="s">
        <v>52</v>
      </c>
      <c r="BD6" s="46">
        <v>2690794.6</v>
      </c>
      <c r="BF6" s="47">
        <v>2010</v>
      </c>
      <c r="BG6" s="46">
        <v>19186024.920000002</v>
      </c>
      <c r="BI6" s="47">
        <v>2015</v>
      </c>
      <c r="BJ6" s="46">
        <v>12427982.860000001</v>
      </c>
      <c r="BL6" s="47">
        <v>2012</v>
      </c>
      <c r="BM6" s="46">
        <v>31898644.52</v>
      </c>
      <c r="BN6" s="52">
        <v>1.866220552318526</v>
      </c>
      <c r="BP6" s="49" t="s">
        <v>44</v>
      </c>
      <c r="BQ6" s="48">
        <v>888</v>
      </c>
    </row>
    <row r="7" spans="1:69" x14ac:dyDescent="0.25">
      <c r="A7" s="45" t="s">
        <v>24</v>
      </c>
      <c r="B7" s="46">
        <v>33368932.109999999</v>
      </c>
      <c r="C7" s="46">
        <v>11082938.629999999</v>
      </c>
      <c r="D7" s="46"/>
      <c r="E7" s="47">
        <v>2013</v>
      </c>
      <c r="F7" s="46">
        <v>20330448.66</v>
      </c>
      <c r="G7" s="46">
        <v>6715420.0399999991</v>
      </c>
      <c r="I7" s="45" t="s">
        <v>44</v>
      </c>
      <c r="J7" s="46">
        <v>7787292.799999998</v>
      </c>
      <c r="K7" s="46">
        <v>5233334.4000000004</v>
      </c>
      <c r="L7" s="46"/>
      <c r="M7" s="45" t="s">
        <v>21</v>
      </c>
      <c r="N7" s="48"/>
      <c r="O7" s="48"/>
      <c r="P7" s="48">
        <v>4921</v>
      </c>
      <c r="Q7" s="48">
        <v>4745</v>
      </c>
      <c r="R7" s="48">
        <v>6593</v>
      </c>
      <c r="S7" s="48"/>
      <c r="T7" s="48">
        <v>962</v>
      </c>
      <c r="U7" s="48">
        <v>8656</v>
      </c>
      <c r="V7" s="48">
        <v>25877</v>
      </c>
      <c r="W7" s="52"/>
      <c r="X7" s="45" t="s">
        <v>24</v>
      </c>
      <c r="Y7" s="52">
        <v>0.24295035565725198</v>
      </c>
      <c r="Z7" s="52">
        <v>0.2509257572525303</v>
      </c>
      <c r="AB7" s="47">
        <v>2013</v>
      </c>
      <c r="AC7" s="52">
        <v>0.14802061139793848</v>
      </c>
      <c r="AD7" s="52">
        <v>0.15204197325829796</v>
      </c>
      <c r="AF7" s="45" t="s">
        <v>44</v>
      </c>
      <c r="AG7" s="52">
        <v>5.6697216114991733E-2</v>
      </c>
      <c r="AH7" s="52">
        <v>0.11848648098809483</v>
      </c>
      <c r="AJ7" s="47">
        <v>2013</v>
      </c>
      <c r="AK7" s="46">
        <v>1694204.0549999999</v>
      </c>
      <c r="AL7" s="46">
        <v>559618.33666666655</v>
      </c>
      <c r="AN7" s="45" t="s">
        <v>14</v>
      </c>
      <c r="AO7" s="46">
        <v>14094265.130000003</v>
      </c>
      <c r="AQ7" s="45" t="s">
        <v>14</v>
      </c>
      <c r="AR7" s="46">
        <v>14094265.130000003</v>
      </c>
      <c r="AT7" s="45" t="s">
        <v>46</v>
      </c>
      <c r="AU7" s="46">
        <v>6336545.4800000004</v>
      </c>
      <c r="AW7" s="45" t="s">
        <v>76</v>
      </c>
      <c r="AX7" s="46">
        <v>26344.26</v>
      </c>
      <c r="AZ7" s="45" t="s">
        <v>16</v>
      </c>
      <c r="BA7" s="46">
        <v>10350327.6</v>
      </c>
      <c r="BC7" s="45" t="s">
        <v>37</v>
      </c>
      <c r="BD7" s="46">
        <v>3089057.06</v>
      </c>
      <c r="BF7" s="47">
        <v>2014</v>
      </c>
      <c r="BG7" s="46">
        <v>16630214.430000002</v>
      </c>
      <c r="BI7" s="47">
        <v>2017</v>
      </c>
      <c r="BJ7" s="46">
        <v>13373419.629999999</v>
      </c>
      <c r="BL7" s="47">
        <v>2013</v>
      </c>
      <c r="BM7" s="46">
        <v>20330448.66</v>
      </c>
      <c r="BN7" s="52">
        <v>-0.36265477841062821</v>
      </c>
      <c r="BP7" s="49" t="s">
        <v>30</v>
      </c>
      <c r="BQ7" s="48">
        <v>10051</v>
      </c>
    </row>
    <row r="8" spans="1:69" x14ac:dyDescent="0.25">
      <c r="A8" s="45" t="s">
        <v>71</v>
      </c>
      <c r="B8" s="46">
        <v>14052706.58</v>
      </c>
      <c r="C8" s="46">
        <v>5761191.8599999994</v>
      </c>
      <c r="D8" s="46"/>
      <c r="E8" s="47">
        <v>2014</v>
      </c>
      <c r="F8" s="46">
        <v>16630214.430000002</v>
      </c>
      <c r="G8" s="46">
        <v>5879461.6799999997</v>
      </c>
      <c r="I8" s="45" t="s">
        <v>50</v>
      </c>
      <c r="J8" s="46">
        <v>36601509.600000001</v>
      </c>
      <c r="K8" s="46">
        <v>14556048.66</v>
      </c>
      <c r="L8" s="46"/>
      <c r="M8" s="45" t="s">
        <v>44</v>
      </c>
      <c r="N8" s="48">
        <v>18290</v>
      </c>
      <c r="O8" s="48">
        <v>888</v>
      </c>
      <c r="P8" s="48">
        <v>13039</v>
      </c>
      <c r="Q8" s="48"/>
      <c r="R8" s="48">
        <v>12010</v>
      </c>
      <c r="S8" s="48">
        <v>13272</v>
      </c>
      <c r="T8" s="48">
        <v>5498</v>
      </c>
      <c r="U8" s="48">
        <v>8263</v>
      </c>
      <c r="V8" s="48">
        <v>71260</v>
      </c>
      <c r="W8" s="52"/>
      <c r="X8" s="45" t="s">
        <v>71</v>
      </c>
      <c r="Y8" s="52">
        <v>0.10231403421312558</v>
      </c>
      <c r="Z8" s="52">
        <v>0.13043755617616495</v>
      </c>
      <c r="AB8" s="47">
        <v>2014</v>
      </c>
      <c r="AC8" s="52">
        <v>0.12108018611761515</v>
      </c>
      <c r="AD8" s="52">
        <v>0.13311527055629238</v>
      </c>
      <c r="AF8" s="45" t="s">
        <v>50</v>
      </c>
      <c r="AG8" s="52">
        <v>0.26648589609037754</v>
      </c>
      <c r="AH8" s="52">
        <v>0.32955948368498544</v>
      </c>
      <c r="AJ8" s="47">
        <v>2014</v>
      </c>
      <c r="AK8" s="46">
        <v>1108680.9620000001</v>
      </c>
      <c r="AL8" s="46">
        <v>391964.11199999996</v>
      </c>
      <c r="AN8" s="45" t="s">
        <v>145</v>
      </c>
      <c r="AO8" s="46">
        <v>108482319.69000001</v>
      </c>
      <c r="AQ8" s="45" t="s">
        <v>145</v>
      </c>
      <c r="AR8" s="46">
        <v>42960713.75</v>
      </c>
      <c r="AT8" s="45" t="s">
        <v>145</v>
      </c>
      <c r="AU8" s="46">
        <v>24372730.440000001</v>
      </c>
      <c r="AW8" s="45" t="s">
        <v>145</v>
      </c>
      <c r="AX8" s="46">
        <v>70722.67</v>
      </c>
      <c r="AZ8" s="45" t="s">
        <v>145</v>
      </c>
      <c r="BA8" s="46">
        <v>107426929.56</v>
      </c>
      <c r="BC8" s="45" t="s">
        <v>145</v>
      </c>
      <c r="BD8" s="46">
        <v>8327066.4600000009</v>
      </c>
      <c r="BF8" s="47" t="s">
        <v>145</v>
      </c>
      <c r="BG8" s="46">
        <v>88045332.530000001</v>
      </c>
      <c r="BI8" s="47" t="s">
        <v>145</v>
      </c>
      <c r="BJ8" s="46">
        <v>49303435.780000001</v>
      </c>
      <c r="BL8" s="47">
        <v>2014</v>
      </c>
      <c r="BM8" s="46">
        <v>16630214.430000002</v>
      </c>
      <c r="BN8" s="52">
        <v>-0.18200455345976602</v>
      </c>
      <c r="BP8" s="49" t="s">
        <v>34</v>
      </c>
      <c r="BQ8" s="48">
        <v>4187</v>
      </c>
    </row>
    <row r="9" spans="1:69" x14ac:dyDescent="0.25">
      <c r="A9" s="45" t="s">
        <v>98</v>
      </c>
      <c r="B9" s="46">
        <v>5643356.5500000007</v>
      </c>
      <c r="C9" s="46">
        <v>1457942.76</v>
      </c>
      <c r="D9" s="46"/>
      <c r="E9" s="47">
        <v>2015</v>
      </c>
      <c r="F9" s="46">
        <v>12427982.860000001</v>
      </c>
      <c r="G9" s="46">
        <v>3996539.4400000004</v>
      </c>
      <c r="I9" s="45" t="s">
        <v>30</v>
      </c>
      <c r="J9" s="46">
        <v>466481.34</v>
      </c>
      <c r="K9" s="46">
        <v>120495.18</v>
      </c>
      <c r="L9" s="46"/>
      <c r="M9" s="45" t="s">
        <v>50</v>
      </c>
      <c r="N9" s="48">
        <v>15144</v>
      </c>
      <c r="O9" s="48"/>
      <c r="P9" s="48">
        <v>8661</v>
      </c>
      <c r="Q9" s="48">
        <v>25728</v>
      </c>
      <c r="R9" s="48">
        <v>7215</v>
      </c>
      <c r="S9" s="48">
        <v>2847</v>
      </c>
      <c r="T9" s="48">
        <v>22308</v>
      </c>
      <c r="U9" s="48">
        <v>1815</v>
      </c>
      <c r="V9" s="48">
        <v>83718</v>
      </c>
      <c r="W9" s="52"/>
      <c r="X9" s="45" t="s">
        <v>98</v>
      </c>
      <c r="Y9" s="52">
        <v>4.1087784182110662E-2</v>
      </c>
      <c r="Z9" s="52">
        <v>3.3008879981846845E-2</v>
      </c>
      <c r="AB9" s="47">
        <v>2015</v>
      </c>
      <c r="AC9" s="52">
        <v>9.0484851177912981E-2</v>
      </c>
      <c r="AD9" s="52">
        <v>9.0484547361569551E-2</v>
      </c>
      <c r="AF9" s="45" t="s">
        <v>30</v>
      </c>
      <c r="AG9" s="52">
        <v>3.3963270711473629E-3</v>
      </c>
      <c r="AH9" s="52">
        <v>2.7280981422144672E-3</v>
      </c>
      <c r="AJ9" s="47">
        <v>2015</v>
      </c>
      <c r="AK9" s="46">
        <v>1129816.6236363638</v>
      </c>
      <c r="AL9" s="46">
        <v>363321.76727272733</v>
      </c>
      <c r="BL9" s="47">
        <v>2015</v>
      </c>
      <c r="BM9" s="46">
        <v>12427982.860000001</v>
      </c>
      <c r="BN9" s="52">
        <v>-0.25268655360326581</v>
      </c>
      <c r="BP9" s="49" t="s">
        <v>26</v>
      </c>
      <c r="BQ9" s="48">
        <v>8975</v>
      </c>
    </row>
    <row r="10" spans="1:69" x14ac:dyDescent="0.25">
      <c r="A10" s="45" t="s">
        <v>28</v>
      </c>
      <c r="B10" s="46">
        <v>39672031.430000007</v>
      </c>
      <c r="C10" s="46">
        <v>12183211.400000004</v>
      </c>
      <c r="D10" s="46"/>
      <c r="E10" s="47">
        <v>2016</v>
      </c>
      <c r="F10" s="46">
        <v>12372867.219999999</v>
      </c>
      <c r="G10" s="46">
        <v>4903838.01</v>
      </c>
      <c r="I10" s="45" t="s">
        <v>34</v>
      </c>
      <c r="J10" s="46">
        <v>29889712.289999995</v>
      </c>
      <c r="K10" s="46">
        <v>7412605.7100000009</v>
      </c>
      <c r="L10" s="46"/>
      <c r="M10" s="45" t="s">
        <v>30</v>
      </c>
      <c r="N10" s="48">
        <v>5822</v>
      </c>
      <c r="O10" s="48">
        <v>10051</v>
      </c>
      <c r="P10" s="48">
        <v>522</v>
      </c>
      <c r="Q10" s="48">
        <v>17243</v>
      </c>
      <c r="R10" s="48">
        <v>15687</v>
      </c>
      <c r="S10" s="48">
        <v>673</v>
      </c>
      <c r="T10" s="48"/>
      <c r="U10" s="48"/>
      <c r="V10" s="48">
        <v>49998</v>
      </c>
      <c r="W10" s="52"/>
      <c r="X10" s="45" t="s">
        <v>28</v>
      </c>
      <c r="Y10" s="52">
        <v>0.28884155218967184</v>
      </c>
      <c r="Z10" s="52">
        <v>0.27583672962309469</v>
      </c>
      <c r="AB10" s="47">
        <v>2016</v>
      </c>
      <c r="AC10" s="52">
        <v>9.008356880255447E-2</v>
      </c>
      <c r="AD10" s="52">
        <v>0.11102644408516332</v>
      </c>
      <c r="AF10" s="45" t="s">
        <v>34</v>
      </c>
      <c r="AG10" s="52">
        <v>0.21761907775203401</v>
      </c>
      <c r="AH10" s="52">
        <v>0.16782676175444822</v>
      </c>
      <c r="AJ10" s="47">
        <v>2016</v>
      </c>
      <c r="AK10" s="46">
        <v>1237286.7219999998</v>
      </c>
      <c r="AL10" s="46">
        <v>490383.80099999998</v>
      </c>
      <c r="BL10" s="47">
        <v>2016</v>
      </c>
      <c r="BM10" s="46">
        <v>12372867.219999999</v>
      </c>
      <c r="BN10" s="52">
        <v>-4.4348017390170788E-3</v>
      </c>
      <c r="BP10" s="49" t="s">
        <v>58</v>
      </c>
      <c r="BQ10" s="48">
        <v>4085</v>
      </c>
    </row>
    <row r="11" spans="1:69" x14ac:dyDescent="0.25">
      <c r="A11" s="45" t="s">
        <v>145</v>
      </c>
      <c r="B11" s="46">
        <v>137348768.31</v>
      </c>
      <c r="C11" s="46">
        <v>44168198.400000006</v>
      </c>
      <c r="D11" s="46"/>
      <c r="E11" s="47">
        <v>2017</v>
      </c>
      <c r="F11" s="46">
        <v>13373419.629999999</v>
      </c>
      <c r="G11" s="46">
        <v>4089353.45</v>
      </c>
      <c r="I11" s="45" t="s">
        <v>55</v>
      </c>
      <c r="J11" s="46">
        <v>4503675.75</v>
      </c>
      <c r="K11" s="46">
        <v>610610</v>
      </c>
      <c r="L11" s="46"/>
      <c r="M11" s="45" t="s">
        <v>34</v>
      </c>
      <c r="N11" s="48">
        <v>3830</v>
      </c>
      <c r="O11" s="48">
        <v>4187</v>
      </c>
      <c r="P11" s="48">
        <v>12532</v>
      </c>
      <c r="Q11" s="48"/>
      <c r="R11" s="48">
        <v>6954</v>
      </c>
      <c r="S11" s="48">
        <v>8250</v>
      </c>
      <c r="T11" s="48"/>
      <c r="U11" s="48">
        <v>8974</v>
      </c>
      <c r="V11" s="48">
        <v>44727</v>
      </c>
      <c r="W11" s="52"/>
      <c r="X11" s="45" t="s">
        <v>145</v>
      </c>
      <c r="Y11" s="52">
        <v>1</v>
      </c>
      <c r="Z11" s="52">
        <v>1</v>
      </c>
      <c r="AB11" s="47">
        <v>2017</v>
      </c>
      <c r="AC11" s="52">
        <v>9.7368325865258704E-2</v>
      </c>
      <c r="AD11" s="52">
        <v>9.2585923767268721E-2</v>
      </c>
      <c r="AF11" s="45" t="s">
        <v>55</v>
      </c>
      <c r="AG11" s="52">
        <v>3.2790070165282285E-2</v>
      </c>
      <c r="AH11" s="52">
        <v>1.3824652626084925E-2</v>
      </c>
      <c r="AJ11" s="47">
        <v>2017</v>
      </c>
      <c r="AK11" s="46">
        <v>1671677.4537499999</v>
      </c>
      <c r="AL11" s="46">
        <v>511169.18125000002</v>
      </c>
      <c r="BL11" s="47">
        <v>2017</v>
      </c>
      <c r="BM11" s="46">
        <v>13373419.629999999</v>
      </c>
      <c r="BN11" s="52">
        <v>8.0866657033437414E-2</v>
      </c>
      <c r="BP11" s="49" t="s">
        <v>37</v>
      </c>
      <c r="BQ11" s="48">
        <v>3856</v>
      </c>
    </row>
    <row r="12" spans="1:69" x14ac:dyDescent="0.25">
      <c r="E12" s="47" t="s">
        <v>145</v>
      </c>
      <c r="F12" s="46">
        <v>137348768.31</v>
      </c>
      <c r="G12" s="46">
        <v>44168198.399999999</v>
      </c>
      <c r="I12" s="45" t="s">
        <v>26</v>
      </c>
      <c r="J12" s="46">
        <v>30585380.07</v>
      </c>
      <c r="K12" s="46">
        <v>5929583.75</v>
      </c>
      <c r="L12" s="46"/>
      <c r="M12" s="45" t="s">
        <v>55</v>
      </c>
      <c r="N12" s="48"/>
      <c r="O12" s="48"/>
      <c r="P12" s="48">
        <v>5908</v>
      </c>
      <c r="Q12" s="48"/>
      <c r="R12" s="48"/>
      <c r="S12" s="48"/>
      <c r="T12" s="48"/>
      <c r="U12" s="48">
        <v>4767</v>
      </c>
      <c r="V12" s="48">
        <v>10675</v>
      </c>
      <c r="AB12" s="47" t="s">
        <v>145</v>
      </c>
      <c r="AC12" s="52">
        <v>1</v>
      </c>
      <c r="AD12" s="52">
        <v>1</v>
      </c>
      <c r="AF12" s="45" t="s">
        <v>26</v>
      </c>
      <c r="AG12" s="52">
        <v>0.2226840505840427</v>
      </c>
      <c r="AH12" s="52">
        <v>0.13425007052132787</v>
      </c>
      <c r="AJ12" s="47" t="s">
        <v>145</v>
      </c>
      <c r="AK12" s="46">
        <v>1373487.6831</v>
      </c>
      <c r="AL12" s="46">
        <v>441681.98400000005</v>
      </c>
      <c r="BL12" s="47" t="s">
        <v>145</v>
      </c>
      <c r="BM12" s="46">
        <v>137348768.31</v>
      </c>
      <c r="BN12" s="52"/>
      <c r="BP12" s="47">
        <v>2015</v>
      </c>
      <c r="BQ12" s="48">
        <v>49480</v>
      </c>
    </row>
    <row r="13" spans="1:69" x14ac:dyDescent="0.25">
      <c r="I13" s="45" t="s">
        <v>39</v>
      </c>
      <c r="J13" s="46">
        <v>3980904.8400000003</v>
      </c>
      <c r="K13" s="46">
        <v>1220622.48</v>
      </c>
      <c r="L13" s="46"/>
      <c r="M13" s="45" t="s">
        <v>26</v>
      </c>
      <c r="N13" s="48">
        <v>8287</v>
      </c>
      <c r="O13" s="48">
        <v>8975</v>
      </c>
      <c r="P13" s="48">
        <v>13982</v>
      </c>
      <c r="Q13" s="48">
        <v>10072</v>
      </c>
      <c r="R13" s="48">
        <v>1779</v>
      </c>
      <c r="S13" s="48">
        <v>2924</v>
      </c>
      <c r="T13" s="48">
        <v>948</v>
      </c>
      <c r="U13" s="48"/>
      <c r="V13" s="48">
        <v>46967</v>
      </c>
      <c r="AF13" s="45" t="s">
        <v>39</v>
      </c>
      <c r="AG13" s="52">
        <v>2.8983913645406614E-2</v>
      </c>
      <c r="AH13" s="52">
        <v>2.7635776966624021E-2</v>
      </c>
      <c r="BP13" s="49" t="s">
        <v>16</v>
      </c>
      <c r="BQ13" s="48">
        <v>4247</v>
      </c>
    </row>
    <row r="14" spans="1:69" x14ac:dyDescent="0.25">
      <c r="I14" s="45" t="s">
        <v>58</v>
      </c>
      <c r="J14" s="46">
        <v>2080733.46</v>
      </c>
      <c r="K14" s="46">
        <v>751944.18</v>
      </c>
      <c r="L14" s="46"/>
      <c r="M14" s="45" t="s">
        <v>39</v>
      </c>
      <c r="N14" s="48">
        <v>273</v>
      </c>
      <c r="O14" s="48"/>
      <c r="P14" s="48">
        <v>15078</v>
      </c>
      <c r="Q14" s="48">
        <v>2125</v>
      </c>
      <c r="R14" s="48">
        <v>4901</v>
      </c>
      <c r="S14" s="48">
        <v>11837</v>
      </c>
      <c r="T14" s="48">
        <v>5070</v>
      </c>
      <c r="U14" s="48">
        <v>9424</v>
      </c>
      <c r="V14" s="48">
        <v>48708</v>
      </c>
      <c r="AF14" s="45" t="s">
        <v>58</v>
      </c>
      <c r="AG14" s="52">
        <v>1.5149269160563032E-2</v>
      </c>
      <c r="AH14" s="52">
        <v>1.7024560820665034E-2</v>
      </c>
      <c r="BP14" s="49" t="s">
        <v>52</v>
      </c>
      <c r="BQ14" s="48">
        <v>5430</v>
      </c>
    </row>
    <row r="15" spans="1:69" x14ac:dyDescent="0.25">
      <c r="I15" s="45" t="s">
        <v>37</v>
      </c>
      <c r="J15" s="46">
        <v>3089057.06</v>
      </c>
      <c r="K15" s="46">
        <v>1265819.6300000001</v>
      </c>
      <c r="L15" s="46"/>
      <c r="M15" s="45" t="s">
        <v>58</v>
      </c>
      <c r="N15" s="48"/>
      <c r="O15" s="48">
        <v>4085</v>
      </c>
      <c r="P15" s="48"/>
      <c r="Q15" s="48"/>
      <c r="R15" s="48"/>
      <c r="S15" s="48"/>
      <c r="T15" s="48">
        <v>2225</v>
      </c>
      <c r="U15" s="48">
        <v>7327</v>
      </c>
      <c r="V15" s="48">
        <v>13637</v>
      </c>
      <c r="AF15" s="45" t="s">
        <v>37</v>
      </c>
      <c r="AG15" s="52">
        <v>2.2490606199160899E-2</v>
      </c>
      <c r="AH15" s="52">
        <v>2.8659073176052392E-2</v>
      </c>
      <c r="BP15" s="49" t="s">
        <v>44</v>
      </c>
      <c r="BQ15" s="48">
        <v>13272</v>
      </c>
    </row>
    <row r="16" spans="1:69" x14ac:dyDescent="0.25">
      <c r="I16" s="45" t="s">
        <v>145</v>
      </c>
      <c r="J16" s="46">
        <v>137348768.31</v>
      </c>
      <c r="K16" s="46">
        <v>44168198.399999999</v>
      </c>
      <c r="L16" s="46"/>
      <c r="M16" s="45" t="s">
        <v>37</v>
      </c>
      <c r="N16" s="48"/>
      <c r="O16" s="48">
        <v>3856</v>
      </c>
      <c r="P16" s="48">
        <v>14710</v>
      </c>
      <c r="Q16" s="48"/>
      <c r="R16" s="48"/>
      <c r="S16" s="48"/>
      <c r="T16" s="48">
        <v>1485</v>
      </c>
      <c r="U16" s="48"/>
      <c r="V16" s="48">
        <v>20051</v>
      </c>
      <c r="AF16" s="45" t="s">
        <v>145</v>
      </c>
      <c r="AG16" s="52">
        <v>1</v>
      </c>
      <c r="AH16" s="52">
        <v>1</v>
      </c>
      <c r="BP16" s="49" t="s">
        <v>50</v>
      </c>
      <c r="BQ16" s="48">
        <v>2847</v>
      </c>
    </row>
    <row r="17" spans="13:69" x14ac:dyDescent="0.25">
      <c r="M17" s="45" t="s">
        <v>145</v>
      </c>
      <c r="N17" s="48">
        <v>61571</v>
      </c>
      <c r="O17" s="48">
        <v>54768</v>
      </c>
      <c r="P17" s="48">
        <v>97967</v>
      </c>
      <c r="Q17" s="48">
        <v>64663</v>
      </c>
      <c r="R17" s="48">
        <v>92040</v>
      </c>
      <c r="S17" s="48">
        <v>49480</v>
      </c>
      <c r="T17" s="48">
        <v>43156</v>
      </c>
      <c r="U17" s="48">
        <v>49226</v>
      </c>
      <c r="V17" s="48">
        <v>512871</v>
      </c>
      <c r="BP17" s="49" t="s">
        <v>30</v>
      </c>
      <c r="BQ17" s="48">
        <v>673</v>
      </c>
    </row>
    <row r="18" spans="13:69" x14ac:dyDescent="0.25">
      <c r="BP18" s="49" t="s">
        <v>34</v>
      </c>
      <c r="BQ18" s="48">
        <v>8250</v>
      </c>
    </row>
    <row r="19" spans="13:69" x14ac:dyDescent="0.25">
      <c r="BP19" s="49" t="s">
        <v>26</v>
      </c>
      <c r="BQ19" s="48">
        <v>2924</v>
      </c>
    </row>
    <row r="20" spans="13:69" x14ac:dyDescent="0.25">
      <c r="BP20" s="49" t="s">
        <v>39</v>
      </c>
      <c r="BQ20" s="48">
        <v>11837</v>
      </c>
    </row>
    <row r="21" spans="13:69" x14ac:dyDescent="0.25">
      <c r="BP21" s="47">
        <v>2016</v>
      </c>
      <c r="BQ21" s="48">
        <v>43156</v>
      </c>
    </row>
    <row r="22" spans="13:69" x14ac:dyDescent="0.25">
      <c r="BP22" s="49" t="s">
        <v>52</v>
      </c>
      <c r="BQ22" s="48">
        <v>4660</v>
      </c>
    </row>
    <row r="23" spans="13:69" x14ac:dyDescent="0.25">
      <c r="BP23" s="49" t="s">
        <v>21</v>
      </c>
      <c r="BQ23" s="48">
        <v>962</v>
      </c>
    </row>
    <row r="24" spans="13:69" x14ac:dyDescent="0.25">
      <c r="BP24" s="49" t="s">
        <v>44</v>
      </c>
      <c r="BQ24" s="48">
        <v>5498</v>
      </c>
    </row>
    <row r="25" spans="13:69" x14ac:dyDescent="0.25">
      <c r="BP25" s="49" t="s">
        <v>50</v>
      </c>
      <c r="BQ25" s="48">
        <v>22308</v>
      </c>
    </row>
    <row r="26" spans="13:69" x14ac:dyDescent="0.25">
      <c r="BP26" s="49" t="s">
        <v>26</v>
      </c>
      <c r="BQ26" s="48">
        <v>948</v>
      </c>
    </row>
    <row r="27" spans="13:69" x14ac:dyDescent="0.25">
      <c r="BP27" s="49" t="s">
        <v>39</v>
      </c>
      <c r="BQ27" s="48">
        <v>5070</v>
      </c>
    </row>
    <row r="28" spans="13:69" x14ac:dyDescent="0.25">
      <c r="BP28" s="49" t="s">
        <v>58</v>
      </c>
      <c r="BQ28" s="48">
        <v>2225</v>
      </c>
    </row>
    <row r="29" spans="13:69" x14ac:dyDescent="0.25">
      <c r="BP29" s="49" t="s">
        <v>37</v>
      </c>
      <c r="BQ29" s="48">
        <v>1485</v>
      </c>
    </row>
    <row r="30" spans="13:69" x14ac:dyDescent="0.25">
      <c r="BP30" s="47">
        <v>2017</v>
      </c>
      <c r="BQ30" s="48">
        <v>49226</v>
      </c>
    </row>
    <row r="31" spans="13:69" x14ac:dyDescent="0.25">
      <c r="BP31" s="49" t="s">
        <v>21</v>
      </c>
      <c r="BQ31" s="48">
        <v>8656</v>
      </c>
    </row>
    <row r="32" spans="13:69" x14ac:dyDescent="0.25">
      <c r="BP32" s="49" t="s">
        <v>44</v>
      </c>
      <c r="BQ32" s="48">
        <v>8263</v>
      </c>
    </row>
    <row r="33" spans="68:69" x14ac:dyDescent="0.25">
      <c r="BP33" s="49" t="s">
        <v>50</v>
      </c>
      <c r="BQ33" s="48">
        <v>1815</v>
      </c>
    </row>
    <row r="34" spans="68:69" x14ac:dyDescent="0.25">
      <c r="BP34" s="49" t="s">
        <v>34</v>
      </c>
      <c r="BQ34" s="48">
        <v>8974</v>
      </c>
    </row>
    <row r="35" spans="68:69" x14ac:dyDescent="0.25">
      <c r="BP35" s="49" t="s">
        <v>55</v>
      </c>
      <c r="BQ35" s="48">
        <v>4767</v>
      </c>
    </row>
    <row r="36" spans="68:69" x14ac:dyDescent="0.25">
      <c r="BP36" s="49" t="s">
        <v>39</v>
      </c>
      <c r="BQ36" s="48">
        <v>9424</v>
      </c>
    </row>
    <row r="37" spans="68:69" x14ac:dyDescent="0.25">
      <c r="BP37" s="49" t="s">
        <v>58</v>
      </c>
      <c r="BQ37" s="48">
        <v>7327</v>
      </c>
    </row>
    <row r="38" spans="68:69" x14ac:dyDescent="0.25">
      <c r="BP38" s="47" t="s">
        <v>145</v>
      </c>
      <c r="BQ38" s="48">
        <v>196630</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376A-B51F-49A6-BF87-9144BF926338}">
  <sheetPr>
    <tabColor rgb="FFFFFF00"/>
  </sheetPr>
  <dimension ref="A1:P102"/>
  <sheetViews>
    <sheetView topLeftCell="B1" workbookViewId="0">
      <selection activeCell="G2" sqref="G2"/>
    </sheetView>
  </sheetViews>
  <sheetFormatPr defaultRowHeight="15" x14ac:dyDescent="0.25"/>
  <cols>
    <col min="1" max="1" width="32.42578125" bestFit="1" customWidth="1"/>
    <col min="2" max="2" width="31.5703125" bestFit="1" customWidth="1"/>
    <col min="3" max="3" width="14.5703125" customWidth="1"/>
    <col min="4" max="4" width="13.42578125" bestFit="1" customWidth="1"/>
    <col min="5" max="5" width="13.28515625" bestFit="1" customWidth="1"/>
    <col min="6" max="6" width="10.7109375" style="2" bestFit="1" customWidth="1"/>
    <col min="7" max="7" width="5" style="3" bestFit="1" customWidth="1"/>
    <col min="8" max="8" width="10" style="1" bestFit="1" customWidth="1"/>
    <col min="9" max="9" width="10.7109375" style="2" bestFit="1" customWidth="1"/>
    <col min="10" max="10" width="11.28515625" style="5" bestFit="1" customWidth="1"/>
    <col min="11" max="11" width="12.42578125" style="1" bestFit="1" customWidth="1"/>
    <col min="12" max="12" width="11.85546875" style="1" bestFit="1" customWidth="1"/>
    <col min="13" max="13" width="17.42578125" style="4" bestFit="1" customWidth="1"/>
    <col min="14" max="14" width="14.140625" style="4" bestFit="1" customWidth="1"/>
    <col min="15" max="15" width="15.28515625" style="4" bestFit="1" customWidth="1"/>
    <col min="16" max="16" width="14.5703125" bestFit="1" customWidth="1"/>
  </cols>
  <sheetData>
    <row r="1" spans="1:16" x14ac:dyDescent="0.25">
      <c r="A1" s="12" t="s">
        <v>0</v>
      </c>
      <c r="B1" s="12" t="s">
        <v>1</v>
      </c>
      <c r="C1" s="12" t="s">
        <v>2</v>
      </c>
      <c r="D1" s="12" t="s">
        <v>3</v>
      </c>
      <c r="E1" s="12" t="s">
        <v>4</v>
      </c>
      <c r="F1" s="13" t="s">
        <v>5</v>
      </c>
      <c r="G1" s="14" t="s">
        <v>115</v>
      </c>
      <c r="H1" s="15" t="s">
        <v>6</v>
      </c>
      <c r="I1" s="13" t="s">
        <v>7</v>
      </c>
      <c r="J1" s="16" t="s">
        <v>8</v>
      </c>
      <c r="K1" s="15" t="s">
        <v>116</v>
      </c>
      <c r="L1" s="15" t="s">
        <v>117</v>
      </c>
      <c r="M1" s="17" t="s">
        <v>118</v>
      </c>
      <c r="N1" s="17" t="s">
        <v>119</v>
      </c>
      <c r="O1" s="17" t="s">
        <v>120</v>
      </c>
      <c r="P1" s="50" t="s">
        <v>152</v>
      </c>
    </row>
    <row r="2" spans="1:16" x14ac:dyDescent="0.25">
      <c r="A2" s="6" t="s">
        <v>14</v>
      </c>
      <c r="B2" s="6" t="s">
        <v>15</v>
      </c>
      <c r="C2" s="6" t="s">
        <v>16</v>
      </c>
      <c r="D2" s="6" t="s">
        <v>17</v>
      </c>
      <c r="E2" s="6" t="s">
        <v>18</v>
      </c>
      <c r="F2" s="7">
        <v>40326</v>
      </c>
      <c r="G2" s="8">
        <f>YEAR(F2)</f>
        <v>2010</v>
      </c>
      <c r="H2" s="9">
        <v>669165933</v>
      </c>
      <c r="I2" s="7">
        <v>40356</v>
      </c>
      <c r="J2" s="10">
        <v>9925</v>
      </c>
      <c r="K2" s="9">
        <v>255.28</v>
      </c>
      <c r="L2" s="9">
        <v>159.41999999999999</v>
      </c>
      <c r="M2" s="11">
        <v>2533654</v>
      </c>
      <c r="N2" s="11">
        <v>1582243.5</v>
      </c>
      <c r="O2" s="11">
        <v>951410.5</v>
      </c>
      <c r="P2" s="51">
        <f>O2/M2</f>
        <v>0.37550924475086178</v>
      </c>
    </row>
    <row r="3" spans="1:16" x14ac:dyDescent="0.25">
      <c r="A3" s="6" t="s">
        <v>19</v>
      </c>
      <c r="B3" s="6" t="s">
        <v>20</v>
      </c>
      <c r="C3" s="6" t="s">
        <v>21</v>
      </c>
      <c r="D3" s="6" t="s">
        <v>22</v>
      </c>
      <c r="E3" s="6" t="s">
        <v>23</v>
      </c>
      <c r="F3" s="7">
        <v>41143</v>
      </c>
      <c r="G3" s="8">
        <f t="shared" ref="G3:G66" si="0">YEAR(F3)</f>
        <v>2012</v>
      </c>
      <c r="H3" s="9">
        <v>963881480</v>
      </c>
      <c r="I3" s="7">
        <v>41167</v>
      </c>
      <c r="J3" s="10">
        <v>2804</v>
      </c>
      <c r="K3" s="9">
        <v>205.7</v>
      </c>
      <c r="L3" s="9">
        <v>117.11</v>
      </c>
      <c r="M3" s="11">
        <v>576782.80000000005</v>
      </c>
      <c r="N3" s="11">
        <v>328376.44</v>
      </c>
      <c r="O3" s="11">
        <v>248406.36</v>
      </c>
      <c r="P3" s="51">
        <f t="shared" ref="P3:P66" si="1">O3/M3</f>
        <v>0.43067574137092846</v>
      </c>
    </row>
    <row r="4" spans="1:16" x14ac:dyDescent="0.25">
      <c r="A4" s="6" t="s">
        <v>24</v>
      </c>
      <c r="B4" s="6" t="s">
        <v>25</v>
      </c>
      <c r="C4" s="6" t="s">
        <v>26</v>
      </c>
      <c r="D4" s="6" t="s">
        <v>17</v>
      </c>
      <c r="E4" s="6" t="s">
        <v>27</v>
      </c>
      <c r="F4" s="7">
        <v>41761</v>
      </c>
      <c r="G4" s="8">
        <f t="shared" si="0"/>
        <v>2014</v>
      </c>
      <c r="H4" s="9">
        <v>341417157</v>
      </c>
      <c r="I4" s="7">
        <v>41767</v>
      </c>
      <c r="J4" s="10">
        <v>1779</v>
      </c>
      <c r="K4" s="9">
        <v>651.21</v>
      </c>
      <c r="L4" s="9">
        <v>524.96</v>
      </c>
      <c r="M4" s="11">
        <v>1158502.5900000001</v>
      </c>
      <c r="N4" s="11">
        <v>933903.84</v>
      </c>
      <c r="O4" s="11">
        <v>224598.75</v>
      </c>
      <c r="P4" s="51">
        <f t="shared" si="1"/>
        <v>0.19386987300563566</v>
      </c>
    </row>
    <row r="5" spans="1:16" x14ac:dyDescent="0.25">
      <c r="A5" s="6" t="s">
        <v>28</v>
      </c>
      <c r="B5" s="6" t="s">
        <v>29</v>
      </c>
      <c r="C5" s="6" t="s">
        <v>30</v>
      </c>
      <c r="D5" s="6" t="s">
        <v>22</v>
      </c>
      <c r="E5" s="6" t="s">
        <v>23</v>
      </c>
      <c r="F5" s="7">
        <v>41810</v>
      </c>
      <c r="G5" s="8">
        <f t="shared" si="0"/>
        <v>2014</v>
      </c>
      <c r="H5" s="9">
        <v>514321792</v>
      </c>
      <c r="I5" s="7">
        <v>41825</v>
      </c>
      <c r="J5" s="10">
        <v>8102</v>
      </c>
      <c r="K5" s="9">
        <v>9.33</v>
      </c>
      <c r="L5" s="9">
        <v>6.92</v>
      </c>
      <c r="M5" s="11">
        <v>75591.66</v>
      </c>
      <c r="N5" s="11">
        <v>56065.84</v>
      </c>
      <c r="O5" s="11">
        <v>19525.82</v>
      </c>
      <c r="P5" s="51">
        <f t="shared" si="1"/>
        <v>0.25830653804930331</v>
      </c>
    </row>
    <row r="6" spans="1:16" x14ac:dyDescent="0.25">
      <c r="A6" s="6" t="s">
        <v>28</v>
      </c>
      <c r="B6" s="6" t="s">
        <v>31</v>
      </c>
      <c r="C6" s="6" t="s">
        <v>26</v>
      </c>
      <c r="D6" s="6" t="s">
        <v>17</v>
      </c>
      <c r="E6" s="6" t="s">
        <v>27</v>
      </c>
      <c r="F6" s="7">
        <v>41306</v>
      </c>
      <c r="G6" s="8">
        <f t="shared" si="0"/>
        <v>2013</v>
      </c>
      <c r="H6" s="9">
        <v>115456712</v>
      </c>
      <c r="I6" s="7">
        <v>41311</v>
      </c>
      <c r="J6" s="10">
        <v>5062</v>
      </c>
      <c r="K6" s="9">
        <v>651.21</v>
      </c>
      <c r="L6" s="9">
        <v>524.96</v>
      </c>
      <c r="M6" s="11">
        <v>3296425.02</v>
      </c>
      <c r="N6" s="11">
        <v>2657347.52</v>
      </c>
      <c r="O6" s="11">
        <v>639077.5</v>
      </c>
      <c r="P6" s="51">
        <f t="shared" si="1"/>
        <v>0.19386987300563566</v>
      </c>
    </row>
    <row r="7" spans="1:16" x14ac:dyDescent="0.25">
      <c r="A7" s="6" t="s">
        <v>14</v>
      </c>
      <c r="B7" s="6" t="s">
        <v>32</v>
      </c>
      <c r="C7" s="6" t="s">
        <v>16</v>
      </c>
      <c r="D7" s="6" t="s">
        <v>22</v>
      </c>
      <c r="E7" s="6" t="s">
        <v>23</v>
      </c>
      <c r="F7" s="7">
        <v>42039</v>
      </c>
      <c r="G7" s="8">
        <f t="shared" si="0"/>
        <v>2015</v>
      </c>
      <c r="H7" s="9">
        <v>547995746</v>
      </c>
      <c r="I7" s="7">
        <v>42056</v>
      </c>
      <c r="J7" s="10">
        <v>2974</v>
      </c>
      <c r="K7" s="9">
        <v>255.28</v>
      </c>
      <c r="L7" s="9">
        <v>159.41999999999999</v>
      </c>
      <c r="M7" s="11">
        <v>759202.72</v>
      </c>
      <c r="N7" s="11">
        <v>474115.08</v>
      </c>
      <c r="O7" s="11">
        <v>285087.64</v>
      </c>
      <c r="P7" s="51">
        <f t="shared" si="1"/>
        <v>0.37550924475086184</v>
      </c>
    </row>
    <row r="8" spans="1:16" x14ac:dyDescent="0.25">
      <c r="A8" s="6" t="s">
        <v>28</v>
      </c>
      <c r="B8" s="6" t="s">
        <v>33</v>
      </c>
      <c r="C8" s="6" t="s">
        <v>34</v>
      </c>
      <c r="D8" s="6" t="s">
        <v>17</v>
      </c>
      <c r="E8" s="6" t="s">
        <v>35</v>
      </c>
      <c r="F8" s="7">
        <v>40656</v>
      </c>
      <c r="G8" s="8">
        <f t="shared" si="0"/>
        <v>2011</v>
      </c>
      <c r="H8" s="9">
        <v>135425221</v>
      </c>
      <c r="I8" s="7">
        <v>40660</v>
      </c>
      <c r="J8" s="10">
        <v>4187</v>
      </c>
      <c r="K8" s="9">
        <v>668.27</v>
      </c>
      <c r="L8" s="9">
        <v>502.54</v>
      </c>
      <c r="M8" s="11">
        <v>2798046.49</v>
      </c>
      <c r="N8" s="11">
        <v>2104134.98</v>
      </c>
      <c r="O8" s="11">
        <v>693911.51</v>
      </c>
      <c r="P8" s="51">
        <f t="shared" si="1"/>
        <v>0.24799856345489096</v>
      </c>
    </row>
    <row r="9" spans="1:16" x14ac:dyDescent="0.25">
      <c r="A9" s="6" t="s">
        <v>28</v>
      </c>
      <c r="B9" s="6" t="s">
        <v>36</v>
      </c>
      <c r="C9" s="6" t="s">
        <v>37</v>
      </c>
      <c r="D9" s="6" t="s">
        <v>22</v>
      </c>
      <c r="E9" s="6" t="s">
        <v>18</v>
      </c>
      <c r="F9" s="7">
        <v>41107</v>
      </c>
      <c r="G9" s="8">
        <f t="shared" si="0"/>
        <v>2012</v>
      </c>
      <c r="H9" s="9">
        <v>871543967</v>
      </c>
      <c r="I9" s="7">
        <v>41117</v>
      </c>
      <c r="J9" s="10">
        <v>8082</v>
      </c>
      <c r="K9" s="9">
        <v>154.06</v>
      </c>
      <c r="L9" s="9">
        <v>90.93</v>
      </c>
      <c r="M9" s="11">
        <v>1245112.92</v>
      </c>
      <c r="N9" s="11">
        <v>734896.26</v>
      </c>
      <c r="O9" s="11">
        <v>510216.66</v>
      </c>
      <c r="P9" s="51">
        <f t="shared" si="1"/>
        <v>0.40977541217707386</v>
      </c>
    </row>
    <row r="10" spans="1:16" x14ac:dyDescent="0.25">
      <c r="A10" s="6" t="s">
        <v>28</v>
      </c>
      <c r="B10" s="6" t="s">
        <v>38</v>
      </c>
      <c r="C10" s="6" t="s">
        <v>39</v>
      </c>
      <c r="D10" s="6" t="s">
        <v>17</v>
      </c>
      <c r="E10" s="6" t="s">
        <v>35</v>
      </c>
      <c r="F10" s="7">
        <v>42199</v>
      </c>
      <c r="G10" s="8">
        <f t="shared" si="0"/>
        <v>2015</v>
      </c>
      <c r="H10" s="9">
        <v>770463311</v>
      </c>
      <c r="I10" s="7">
        <v>42241</v>
      </c>
      <c r="J10" s="10">
        <v>6070</v>
      </c>
      <c r="K10" s="9">
        <v>81.73</v>
      </c>
      <c r="L10" s="9">
        <v>56.67</v>
      </c>
      <c r="M10" s="11">
        <v>496101.1</v>
      </c>
      <c r="N10" s="11">
        <v>343986.9</v>
      </c>
      <c r="O10" s="11">
        <v>152114.20000000001</v>
      </c>
      <c r="P10" s="51">
        <f t="shared" si="1"/>
        <v>0.30661935641747218</v>
      </c>
    </row>
    <row r="11" spans="1:16" x14ac:dyDescent="0.25">
      <c r="A11" s="6" t="s">
        <v>28</v>
      </c>
      <c r="B11" s="6" t="s">
        <v>40</v>
      </c>
      <c r="C11" s="6" t="s">
        <v>21</v>
      </c>
      <c r="D11" s="6" t="s">
        <v>22</v>
      </c>
      <c r="E11" s="6" t="s">
        <v>18</v>
      </c>
      <c r="F11" s="7">
        <v>41747</v>
      </c>
      <c r="G11" s="8">
        <f t="shared" si="0"/>
        <v>2014</v>
      </c>
      <c r="H11" s="9">
        <v>616607081</v>
      </c>
      <c r="I11" s="7">
        <v>41789</v>
      </c>
      <c r="J11" s="10">
        <v>6593</v>
      </c>
      <c r="K11" s="9">
        <v>205.7</v>
      </c>
      <c r="L11" s="9">
        <v>117.11</v>
      </c>
      <c r="M11" s="11">
        <v>1356180.1</v>
      </c>
      <c r="N11" s="11">
        <v>772106.23</v>
      </c>
      <c r="O11" s="11">
        <v>584073.87</v>
      </c>
      <c r="P11" s="51">
        <f t="shared" si="1"/>
        <v>0.43067574137092851</v>
      </c>
    </row>
    <row r="12" spans="1:16" x14ac:dyDescent="0.25">
      <c r="A12" s="6" t="s">
        <v>41</v>
      </c>
      <c r="B12" s="6" t="s">
        <v>42</v>
      </c>
      <c r="C12" s="6" t="s">
        <v>37</v>
      </c>
      <c r="D12" s="6" t="s">
        <v>22</v>
      </c>
      <c r="E12" s="6" t="s">
        <v>18</v>
      </c>
      <c r="F12" s="7">
        <v>40718</v>
      </c>
      <c r="G12" s="8">
        <f t="shared" si="0"/>
        <v>2011</v>
      </c>
      <c r="H12" s="9">
        <v>814711606</v>
      </c>
      <c r="I12" s="7">
        <v>40736</v>
      </c>
      <c r="J12" s="10">
        <v>124</v>
      </c>
      <c r="K12" s="9">
        <v>154.06</v>
      </c>
      <c r="L12" s="9">
        <v>90.93</v>
      </c>
      <c r="M12" s="11">
        <v>19103.439999999999</v>
      </c>
      <c r="N12" s="11">
        <v>11275.32</v>
      </c>
      <c r="O12" s="11">
        <v>7828.12</v>
      </c>
      <c r="P12" s="51">
        <f t="shared" si="1"/>
        <v>0.40977541217707392</v>
      </c>
    </row>
    <row r="13" spans="1:16" x14ac:dyDescent="0.25">
      <c r="A13" s="6" t="s">
        <v>28</v>
      </c>
      <c r="B13" s="6" t="s">
        <v>43</v>
      </c>
      <c r="C13" s="6" t="s">
        <v>44</v>
      </c>
      <c r="D13" s="6" t="s">
        <v>17</v>
      </c>
      <c r="E13" s="6" t="s">
        <v>18</v>
      </c>
      <c r="F13" s="7">
        <v>41853</v>
      </c>
      <c r="G13" s="8">
        <f t="shared" si="0"/>
        <v>2014</v>
      </c>
      <c r="H13" s="9">
        <v>939825713</v>
      </c>
      <c r="I13" s="7">
        <v>41870</v>
      </c>
      <c r="J13" s="10">
        <v>4168</v>
      </c>
      <c r="K13" s="9">
        <v>109.28</v>
      </c>
      <c r="L13" s="9">
        <v>35.840000000000003</v>
      </c>
      <c r="M13" s="11">
        <v>455479.03999999998</v>
      </c>
      <c r="N13" s="11">
        <v>149381.12</v>
      </c>
      <c r="O13" s="11">
        <v>306097.91999999998</v>
      </c>
      <c r="P13" s="51">
        <f t="shared" si="1"/>
        <v>0.67203513909224011</v>
      </c>
    </row>
    <row r="14" spans="1:16" x14ac:dyDescent="0.25">
      <c r="A14" s="6" t="s">
        <v>41</v>
      </c>
      <c r="B14" s="6" t="s">
        <v>45</v>
      </c>
      <c r="C14" s="6" t="s">
        <v>44</v>
      </c>
      <c r="D14" s="6" t="s">
        <v>22</v>
      </c>
      <c r="E14" s="6" t="s">
        <v>27</v>
      </c>
      <c r="F14" s="7">
        <v>42748</v>
      </c>
      <c r="G14" s="8">
        <f t="shared" si="0"/>
        <v>2017</v>
      </c>
      <c r="H14" s="9">
        <v>187310731</v>
      </c>
      <c r="I14" s="7">
        <v>42795</v>
      </c>
      <c r="J14" s="10">
        <v>8263</v>
      </c>
      <c r="K14" s="9">
        <v>109.28</v>
      </c>
      <c r="L14" s="9">
        <v>35.840000000000003</v>
      </c>
      <c r="M14" s="11">
        <v>902980.64</v>
      </c>
      <c r="N14" s="11">
        <v>296145.91999999998</v>
      </c>
      <c r="O14" s="11">
        <v>606834.72</v>
      </c>
      <c r="P14" s="51">
        <f t="shared" si="1"/>
        <v>0.67203513909224011</v>
      </c>
    </row>
    <row r="15" spans="1:16" x14ac:dyDescent="0.25">
      <c r="A15" s="6" t="s">
        <v>19</v>
      </c>
      <c r="B15" s="6" t="s">
        <v>46</v>
      </c>
      <c r="C15" s="6" t="s">
        <v>34</v>
      </c>
      <c r="D15" s="6" t="s">
        <v>17</v>
      </c>
      <c r="E15" s="6" t="s">
        <v>18</v>
      </c>
      <c r="F15" s="7">
        <v>42774</v>
      </c>
      <c r="G15" s="8">
        <f t="shared" si="0"/>
        <v>2017</v>
      </c>
      <c r="H15" s="9">
        <v>522840487</v>
      </c>
      <c r="I15" s="7">
        <v>42779</v>
      </c>
      <c r="J15" s="10">
        <v>8974</v>
      </c>
      <c r="K15" s="9">
        <v>668.27</v>
      </c>
      <c r="L15" s="9">
        <v>502.54</v>
      </c>
      <c r="M15" s="11">
        <v>5997054.9800000004</v>
      </c>
      <c r="N15" s="11">
        <v>4509793.96</v>
      </c>
      <c r="O15" s="11">
        <v>1487261.02</v>
      </c>
      <c r="P15" s="51">
        <f t="shared" si="1"/>
        <v>0.24799856345489096</v>
      </c>
    </row>
    <row r="16" spans="1:16" x14ac:dyDescent="0.25">
      <c r="A16" s="6" t="s">
        <v>41</v>
      </c>
      <c r="B16" s="6" t="s">
        <v>47</v>
      </c>
      <c r="C16" s="6" t="s">
        <v>39</v>
      </c>
      <c r="D16" s="6" t="s">
        <v>17</v>
      </c>
      <c r="E16" s="6" t="s">
        <v>23</v>
      </c>
      <c r="F16" s="7">
        <v>41689</v>
      </c>
      <c r="G16" s="8">
        <f t="shared" si="0"/>
        <v>2014</v>
      </c>
      <c r="H16" s="9">
        <v>832401311</v>
      </c>
      <c r="I16" s="7">
        <v>41693</v>
      </c>
      <c r="J16" s="10">
        <v>4901</v>
      </c>
      <c r="K16" s="9">
        <v>81.73</v>
      </c>
      <c r="L16" s="9">
        <v>56.67</v>
      </c>
      <c r="M16" s="11">
        <v>400558.73</v>
      </c>
      <c r="N16" s="11">
        <v>277739.67</v>
      </c>
      <c r="O16" s="11">
        <v>122819.06</v>
      </c>
      <c r="P16" s="51">
        <f t="shared" si="1"/>
        <v>0.30661935641747218</v>
      </c>
    </row>
    <row r="17" spans="1:16" x14ac:dyDescent="0.25">
      <c r="A17" s="6" t="s">
        <v>24</v>
      </c>
      <c r="B17" s="6" t="s">
        <v>48</v>
      </c>
      <c r="C17" s="6" t="s">
        <v>44</v>
      </c>
      <c r="D17" s="6" t="s">
        <v>22</v>
      </c>
      <c r="E17" s="6" t="s">
        <v>35</v>
      </c>
      <c r="F17" s="7">
        <v>41022</v>
      </c>
      <c r="G17" s="8">
        <f t="shared" si="0"/>
        <v>2012</v>
      </c>
      <c r="H17" s="9">
        <v>972292029</v>
      </c>
      <c r="I17" s="7">
        <v>41063</v>
      </c>
      <c r="J17" s="10">
        <v>1673</v>
      </c>
      <c r="K17" s="9">
        <v>109.28</v>
      </c>
      <c r="L17" s="9">
        <v>35.840000000000003</v>
      </c>
      <c r="M17" s="11">
        <v>182825.44</v>
      </c>
      <c r="N17" s="11">
        <v>59960.32</v>
      </c>
      <c r="O17" s="11">
        <v>122865.12</v>
      </c>
      <c r="P17" s="51">
        <f t="shared" si="1"/>
        <v>0.67203513909224011</v>
      </c>
    </row>
    <row r="18" spans="1:16" x14ac:dyDescent="0.25">
      <c r="A18" s="6" t="s">
        <v>41</v>
      </c>
      <c r="B18" s="6" t="s">
        <v>49</v>
      </c>
      <c r="C18" s="6" t="s">
        <v>50</v>
      </c>
      <c r="D18" s="6" t="s">
        <v>17</v>
      </c>
      <c r="E18" s="6" t="s">
        <v>35</v>
      </c>
      <c r="F18" s="7">
        <v>42693</v>
      </c>
      <c r="G18" s="8">
        <f t="shared" si="0"/>
        <v>2016</v>
      </c>
      <c r="H18" s="9">
        <v>419123971</v>
      </c>
      <c r="I18" s="7">
        <v>42722</v>
      </c>
      <c r="J18" s="10">
        <v>6952</v>
      </c>
      <c r="K18" s="9">
        <v>437.2</v>
      </c>
      <c r="L18" s="9">
        <v>263.33</v>
      </c>
      <c r="M18" s="11">
        <v>3039414.4</v>
      </c>
      <c r="N18" s="11">
        <v>1830670.16</v>
      </c>
      <c r="O18" s="11">
        <v>1208744.24</v>
      </c>
      <c r="P18" s="51">
        <f t="shared" si="1"/>
        <v>0.39768984446477584</v>
      </c>
    </row>
    <row r="19" spans="1:16" x14ac:dyDescent="0.25">
      <c r="A19" s="6" t="s">
        <v>28</v>
      </c>
      <c r="B19" s="6" t="s">
        <v>51</v>
      </c>
      <c r="C19" s="6" t="s">
        <v>52</v>
      </c>
      <c r="D19" s="6" t="s">
        <v>17</v>
      </c>
      <c r="E19" s="6" t="s">
        <v>23</v>
      </c>
      <c r="F19" s="7">
        <v>42095</v>
      </c>
      <c r="G19" s="8">
        <f t="shared" si="0"/>
        <v>2015</v>
      </c>
      <c r="H19" s="9">
        <v>519820964</v>
      </c>
      <c r="I19" s="7">
        <v>42112</v>
      </c>
      <c r="J19" s="10">
        <v>5430</v>
      </c>
      <c r="K19" s="9">
        <v>47.45</v>
      </c>
      <c r="L19" s="9">
        <v>31.79</v>
      </c>
      <c r="M19" s="11">
        <v>257653.5</v>
      </c>
      <c r="N19" s="11">
        <v>172619.7</v>
      </c>
      <c r="O19" s="11">
        <v>85033.8</v>
      </c>
      <c r="P19" s="51">
        <f t="shared" si="1"/>
        <v>0.33003161222339306</v>
      </c>
    </row>
    <row r="20" spans="1:16" x14ac:dyDescent="0.25">
      <c r="A20" s="6" t="s">
        <v>41</v>
      </c>
      <c r="B20" s="6" t="s">
        <v>53</v>
      </c>
      <c r="C20" s="6" t="s">
        <v>34</v>
      </c>
      <c r="D20" s="6" t="s">
        <v>17</v>
      </c>
      <c r="E20" s="6" t="s">
        <v>27</v>
      </c>
      <c r="F20" s="7">
        <v>40542</v>
      </c>
      <c r="G20" s="8">
        <f t="shared" si="0"/>
        <v>2010</v>
      </c>
      <c r="H20" s="9">
        <v>441619336</v>
      </c>
      <c r="I20" s="7">
        <v>40563</v>
      </c>
      <c r="J20" s="10">
        <v>3830</v>
      </c>
      <c r="K20" s="9">
        <v>668.27</v>
      </c>
      <c r="L20" s="9">
        <v>502.54</v>
      </c>
      <c r="M20" s="11">
        <v>2559474.1</v>
      </c>
      <c r="N20" s="11">
        <v>1924728.2</v>
      </c>
      <c r="O20" s="11">
        <v>634745.9</v>
      </c>
      <c r="P20" s="51">
        <f t="shared" si="1"/>
        <v>0.24799856345489099</v>
      </c>
    </row>
    <row r="21" spans="1:16" x14ac:dyDescent="0.25">
      <c r="A21" s="6" t="s">
        <v>14</v>
      </c>
      <c r="B21" s="6" t="s">
        <v>54</v>
      </c>
      <c r="C21" s="6" t="s">
        <v>55</v>
      </c>
      <c r="D21" s="6" t="s">
        <v>22</v>
      </c>
      <c r="E21" s="6" t="s">
        <v>27</v>
      </c>
      <c r="F21" s="7">
        <v>41121</v>
      </c>
      <c r="G21" s="8">
        <f t="shared" si="0"/>
        <v>2012</v>
      </c>
      <c r="H21" s="9">
        <v>322067916</v>
      </c>
      <c r="I21" s="7">
        <v>41163</v>
      </c>
      <c r="J21" s="10">
        <v>5908</v>
      </c>
      <c r="K21" s="9">
        <v>421.89</v>
      </c>
      <c r="L21" s="9">
        <v>364.69</v>
      </c>
      <c r="M21" s="11">
        <v>2492526.12</v>
      </c>
      <c r="N21" s="11">
        <v>2154588.52</v>
      </c>
      <c r="O21" s="11">
        <v>337937.6</v>
      </c>
      <c r="P21" s="51">
        <f t="shared" si="1"/>
        <v>0.13558036455000116</v>
      </c>
    </row>
    <row r="22" spans="1:16" x14ac:dyDescent="0.25">
      <c r="A22" s="6" t="s">
        <v>24</v>
      </c>
      <c r="B22" s="6" t="s">
        <v>56</v>
      </c>
      <c r="C22" s="6" t="s">
        <v>16</v>
      </c>
      <c r="D22" s="6" t="s">
        <v>22</v>
      </c>
      <c r="E22" s="6" t="s">
        <v>27</v>
      </c>
      <c r="F22" s="7">
        <v>41773</v>
      </c>
      <c r="G22" s="8">
        <f t="shared" si="0"/>
        <v>2014</v>
      </c>
      <c r="H22" s="9">
        <v>819028031</v>
      </c>
      <c r="I22" s="7">
        <v>41818</v>
      </c>
      <c r="J22" s="10">
        <v>7450</v>
      </c>
      <c r="K22" s="9">
        <v>255.28</v>
      </c>
      <c r="L22" s="9">
        <v>159.41999999999999</v>
      </c>
      <c r="M22" s="11">
        <v>1901836</v>
      </c>
      <c r="N22" s="11">
        <v>1187679</v>
      </c>
      <c r="O22" s="11">
        <v>714157</v>
      </c>
      <c r="P22" s="51">
        <f t="shared" si="1"/>
        <v>0.37550924475086178</v>
      </c>
    </row>
    <row r="23" spans="1:16" x14ac:dyDescent="0.25">
      <c r="A23" s="6" t="s">
        <v>24</v>
      </c>
      <c r="B23" s="6" t="s">
        <v>57</v>
      </c>
      <c r="C23" s="6" t="s">
        <v>16</v>
      </c>
      <c r="D23" s="6" t="s">
        <v>22</v>
      </c>
      <c r="E23" s="6" t="s">
        <v>18</v>
      </c>
      <c r="F23" s="7">
        <v>42216</v>
      </c>
      <c r="G23" s="8">
        <f t="shared" si="0"/>
        <v>2015</v>
      </c>
      <c r="H23" s="9">
        <v>860673511</v>
      </c>
      <c r="I23" s="7">
        <v>42250</v>
      </c>
      <c r="J23" s="10">
        <v>1273</v>
      </c>
      <c r="K23" s="9">
        <v>255.28</v>
      </c>
      <c r="L23" s="9">
        <v>159.41999999999999</v>
      </c>
      <c r="M23" s="11">
        <v>324971.44</v>
      </c>
      <c r="N23" s="11">
        <v>202941.66</v>
      </c>
      <c r="O23" s="11">
        <v>122029.78</v>
      </c>
      <c r="P23" s="51">
        <f t="shared" si="1"/>
        <v>0.37550924475086178</v>
      </c>
    </row>
    <row r="24" spans="1:16" x14ac:dyDescent="0.25">
      <c r="A24" s="6" t="s">
        <v>19</v>
      </c>
      <c r="B24" s="6" t="s">
        <v>46</v>
      </c>
      <c r="C24" s="6" t="s">
        <v>58</v>
      </c>
      <c r="D24" s="6" t="s">
        <v>22</v>
      </c>
      <c r="E24" s="6" t="s">
        <v>27</v>
      </c>
      <c r="F24" s="7">
        <v>42551</v>
      </c>
      <c r="G24" s="8">
        <f t="shared" si="0"/>
        <v>2016</v>
      </c>
      <c r="H24" s="9">
        <v>795490682</v>
      </c>
      <c r="I24" s="7">
        <v>42577</v>
      </c>
      <c r="J24" s="10">
        <v>2225</v>
      </c>
      <c r="K24" s="9">
        <v>152.58000000000001</v>
      </c>
      <c r="L24" s="9">
        <v>97.44</v>
      </c>
      <c r="M24" s="11">
        <v>339490.5</v>
      </c>
      <c r="N24" s="11">
        <v>216804</v>
      </c>
      <c r="O24" s="11">
        <v>122686.5</v>
      </c>
      <c r="P24" s="51">
        <f t="shared" si="1"/>
        <v>0.36138419189933152</v>
      </c>
    </row>
    <row r="25" spans="1:16" x14ac:dyDescent="0.25">
      <c r="A25" s="6" t="s">
        <v>14</v>
      </c>
      <c r="B25" s="6" t="s">
        <v>59</v>
      </c>
      <c r="C25" s="6" t="s">
        <v>30</v>
      </c>
      <c r="D25" s="6" t="s">
        <v>22</v>
      </c>
      <c r="E25" s="6" t="s">
        <v>18</v>
      </c>
      <c r="F25" s="7">
        <v>41890</v>
      </c>
      <c r="G25" s="8">
        <f t="shared" si="0"/>
        <v>2014</v>
      </c>
      <c r="H25" s="9">
        <v>142278373</v>
      </c>
      <c r="I25" s="7">
        <v>41916</v>
      </c>
      <c r="J25" s="10">
        <v>2187</v>
      </c>
      <c r="K25" s="9">
        <v>9.33</v>
      </c>
      <c r="L25" s="9">
        <v>6.92</v>
      </c>
      <c r="M25" s="11">
        <v>20404.71</v>
      </c>
      <c r="N25" s="11">
        <v>15134.04</v>
      </c>
      <c r="O25" s="11">
        <v>5270.67</v>
      </c>
      <c r="P25" s="51">
        <f t="shared" si="1"/>
        <v>0.25830653804930331</v>
      </c>
    </row>
    <row r="26" spans="1:16" x14ac:dyDescent="0.25">
      <c r="A26" s="6" t="s">
        <v>24</v>
      </c>
      <c r="B26" s="6" t="s">
        <v>60</v>
      </c>
      <c r="C26" s="6" t="s">
        <v>39</v>
      </c>
      <c r="D26" s="6" t="s">
        <v>22</v>
      </c>
      <c r="E26" s="6" t="s">
        <v>27</v>
      </c>
      <c r="F26" s="7">
        <v>42497</v>
      </c>
      <c r="G26" s="8">
        <f t="shared" si="0"/>
        <v>2016</v>
      </c>
      <c r="H26" s="9">
        <v>740147912</v>
      </c>
      <c r="I26" s="7">
        <v>42500</v>
      </c>
      <c r="J26" s="10">
        <v>5070</v>
      </c>
      <c r="K26" s="9">
        <v>81.73</v>
      </c>
      <c r="L26" s="9">
        <v>56.67</v>
      </c>
      <c r="M26" s="11">
        <v>414371.1</v>
      </c>
      <c r="N26" s="11">
        <v>287316.90000000002</v>
      </c>
      <c r="O26" s="11">
        <v>127054.2</v>
      </c>
      <c r="P26" s="51">
        <f t="shared" si="1"/>
        <v>0.30661935641747218</v>
      </c>
    </row>
    <row r="27" spans="1:16" x14ac:dyDescent="0.25">
      <c r="A27" s="6" t="s">
        <v>24</v>
      </c>
      <c r="B27" s="6" t="s">
        <v>61</v>
      </c>
      <c r="C27" s="6" t="s">
        <v>50</v>
      </c>
      <c r="D27" s="6" t="s">
        <v>22</v>
      </c>
      <c r="E27" s="6" t="s">
        <v>18</v>
      </c>
      <c r="F27" s="7">
        <v>42877</v>
      </c>
      <c r="G27" s="8">
        <f t="shared" si="0"/>
        <v>2017</v>
      </c>
      <c r="H27" s="9">
        <v>898523128</v>
      </c>
      <c r="I27" s="7">
        <v>42891</v>
      </c>
      <c r="J27" s="10">
        <v>1815</v>
      </c>
      <c r="K27" s="9">
        <v>437.2</v>
      </c>
      <c r="L27" s="9">
        <v>263.33</v>
      </c>
      <c r="M27" s="11">
        <v>793518</v>
      </c>
      <c r="N27" s="11">
        <v>477943.95</v>
      </c>
      <c r="O27" s="11">
        <v>315574.05</v>
      </c>
      <c r="P27" s="51">
        <f t="shared" si="1"/>
        <v>0.39768984446477584</v>
      </c>
    </row>
    <row r="28" spans="1:16" x14ac:dyDescent="0.25">
      <c r="A28" s="6" t="s">
        <v>14</v>
      </c>
      <c r="B28" s="6" t="s">
        <v>62</v>
      </c>
      <c r="C28" s="6" t="s">
        <v>30</v>
      </c>
      <c r="D28" s="6" t="s">
        <v>22</v>
      </c>
      <c r="E28" s="6" t="s">
        <v>35</v>
      </c>
      <c r="F28" s="7">
        <v>41925</v>
      </c>
      <c r="G28" s="8">
        <f t="shared" si="0"/>
        <v>2014</v>
      </c>
      <c r="H28" s="9">
        <v>347140347</v>
      </c>
      <c r="I28" s="7">
        <v>41953</v>
      </c>
      <c r="J28" s="10">
        <v>5398</v>
      </c>
      <c r="K28" s="9">
        <v>9.33</v>
      </c>
      <c r="L28" s="9">
        <v>6.92</v>
      </c>
      <c r="M28" s="11">
        <v>50363.34</v>
      </c>
      <c r="N28" s="11">
        <v>37354.160000000003</v>
      </c>
      <c r="O28" s="11">
        <v>13009.18</v>
      </c>
      <c r="P28" s="51">
        <f t="shared" si="1"/>
        <v>0.25830653804930337</v>
      </c>
    </row>
    <row r="29" spans="1:16" x14ac:dyDescent="0.25">
      <c r="A29" s="6" t="s">
        <v>28</v>
      </c>
      <c r="B29" s="6" t="s">
        <v>63</v>
      </c>
      <c r="C29" s="6" t="s">
        <v>30</v>
      </c>
      <c r="D29" s="6" t="s">
        <v>22</v>
      </c>
      <c r="E29" s="6" t="s">
        <v>27</v>
      </c>
      <c r="F29" s="7">
        <v>40305</v>
      </c>
      <c r="G29" s="8">
        <f t="shared" si="0"/>
        <v>2010</v>
      </c>
      <c r="H29" s="9">
        <v>686048400</v>
      </c>
      <c r="I29" s="7">
        <v>40308</v>
      </c>
      <c r="J29" s="10">
        <v>5822</v>
      </c>
      <c r="K29" s="9">
        <v>9.33</v>
      </c>
      <c r="L29" s="9">
        <v>6.92</v>
      </c>
      <c r="M29" s="11">
        <v>54319.26</v>
      </c>
      <c r="N29" s="11">
        <v>40288.239999999998</v>
      </c>
      <c r="O29" s="11">
        <v>14031.02</v>
      </c>
      <c r="P29" s="51">
        <f t="shared" si="1"/>
        <v>0.25830653804930331</v>
      </c>
    </row>
    <row r="30" spans="1:16" x14ac:dyDescent="0.25">
      <c r="A30" s="6" t="s">
        <v>24</v>
      </c>
      <c r="B30" s="6" t="s">
        <v>56</v>
      </c>
      <c r="C30" s="6" t="s">
        <v>52</v>
      </c>
      <c r="D30" s="6" t="s">
        <v>17</v>
      </c>
      <c r="E30" s="6" t="s">
        <v>23</v>
      </c>
      <c r="F30" s="7">
        <v>41838</v>
      </c>
      <c r="G30" s="8">
        <f t="shared" si="0"/>
        <v>2014</v>
      </c>
      <c r="H30" s="9">
        <v>435608613</v>
      </c>
      <c r="I30" s="7">
        <v>41850</v>
      </c>
      <c r="J30" s="10">
        <v>5124</v>
      </c>
      <c r="K30" s="9">
        <v>47.45</v>
      </c>
      <c r="L30" s="9">
        <v>31.79</v>
      </c>
      <c r="M30" s="11">
        <v>243133.8</v>
      </c>
      <c r="N30" s="11">
        <v>162891.96</v>
      </c>
      <c r="O30" s="11">
        <v>80241.84</v>
      </c>
      <c r="P30" s="51">
        <f t="shared" si="1"/>
        <v>0.33003161222339306</v>
      </c>
    </row>
    <row r="31" spans="1:16" x14ac:dyDescent="0.25">
      <c r="A31" s="6" t="s">
        <v>28</v>
      </c>
      <c r="B31" s="6" t="s">
        <v>64</v>
      </c>
      <c r="C31" s="6" t="s">
        <v>34</v>
      </c>
      <c r="D31" s="6" t="s">
        <v>17</v>
      </c>
      <c r="E31" s="6" t="s">
        <v>27</v>
      </c>
      <c r="F31" s="7">
        <v>41055</v>
      </c>
      <c r="G31" s="8">
        <f t="shared" si="0"/>
        <v>2012</v>
      </c>
      <c r="H31" s="9">
        <v>886494815</v>
      </c>
      <c r="I31" s="7">
        <v>41069</v>
      </c>
      <c r="J31" s="10">
        <v>2370</v>
      </c>
      <c r="K31" s="9">
        <v>668.27</v>
      </c>
      <c r="L31" s="9">
        <v>502.54</v>
      </c>
      <c r="M31" s="11">
        <v>1583799.9</v>
      </c>
      <c r="N31" s="11">
        <v>1191019.8</v>
      </c>
      <c r="O31" s="11">
        <v>392780.1</v>
      </c>
      <c r="P31" s="51">
        <f t="shared" si="1"/>
        <v>0.24799856345489099</v>
      </c>
    </row>
    <row r="32" spans="1:16" x14ac:dyDescent="0.25">
      <c r="A32" s="6" t="s">
        <v>24</v>
      </c>
      <c r="B32" s="6" t="s">
        <v>65</v>
      </c>
      <c r="C32" s="6" t="s">
        <v>50</v>
      </c>
      <c r="D32" s="6" t="s">
        <v>17</v>
      </c>
      <c r="E32" s="6" t="s">
        <v>35</v>
      </c>
      <c r="F32" s="7">
        <v>41169</v>
      </c>
      <c r="G32" s="8">
        <f t="shared" si="0"/>
        <v>2012</v>
      </c>
      <c r="H32" s="9">
        <v>249693334</v>
      </c>
      <c r="I32" s="7">
        <v>41202</v>
      </c>
      <c r="J32" s="10">
        <v>8661</v>
      </c>
      <c r="K32" s="9">
        <v>437.2</v>
      </c>
      <c r="L32" s="9">
        <v>263.33</v>
      </c>
      <c r="M32" s="11">
        <v>3786589.2</v>
      </c>
      <c r="N32" s="11">
        <v>2280701.13</v>
      </c>
      <c r="O32" s="11">
        <v>1505888.07</v>
      </c>
      <c r="P32" s="51">
        <f t="shared" si="1"/>
        <v>0.39768984446477584</v>
      </c>
    </row>
    <row r="33" spans="1:16" x14ac:dyDescent="0.25">
      <c r="A33" s="6" t="s">
        <v>28</v>
      </c>
      <c r="B33" s="6" t="s">
        <v>66</v>
      </c>
      <c r="C33" s="6" t="s">
        <v>39</v>
      </c>
      <c r="D33" s="6" t="s">
        <v>17</v>
      </c>
      <c r="E33" s="6" t="s">
        <v>23</v>
      </c>
      <c r="F33" s="7">
        <v>41637</v>
      </c>
      <c r="G33" s="8">
        <f t="shared" si="0"/>
        <v>2013</v>
      </c>
      <c r="H33" s="9">
        <v>406502997</v>
      </c>
      <c r="I33" s="7">
        <v>41667</v>
      </c>
      <c r="J33" s="10">
        <v>2125</v>
      </c>
      <c r="K33" s="9">
        <v>81.73</v>
      </c>
      <c r="L33" s="9">
        <v>56.67</v>
      </c>
      <c r="M33" s="11">
        <v>173676.25</v>
      </c>
      <c r="N33" s="11">
        <v>120423.75</v>
      </c>
      <c r="O33" s="11">
        <v>53252.5</v>
      </c>
      <c r="P33" s="51">
        <f t="shared" si="1"/>
        <v>0.30661935641747218</v>
      </c>
    </row>
    <row r="34" spans="1:16" x14ac:dyDescent="0.25">
      <c r="A34" s="6" t="s">
        <v>14</v>
      </c>
      <c r="B34" s="6" t="s">
        <v>67</v>
      </c>
      <c r="C34" s="6" t="s">
        <v>26</v>
      </c>
      <c r="D34" s="6" t="s">
        <v>22</v>
      </c>
      <c r="E34" s="6" t="s">
        <v>23</v>
      </c>
      <c r="F34" s="7">
        <v>42304</v>
      </c>
      <c r="G34" s="8">
        <f t="shared" si="0"/>
        <v>2015</v>
      </c>
      <c r="H34" s="9">
        <v>158535134</v>
      </c>
      <c r="I34" s="7">
        <v>42333</v>
      </c>
      <c r="J34" s="10">
        <v>2924</v>
      </c>
      <c r="K34" s="9">
        <v>651.21</v>
      </c>
      <c r="L34" s="9">
        <v>524.96</v>
      </c>
      <c r="M34" s="11">
        <v>1904138.04</v>
      </c>
      <c r="N34" s="11">
        <v>1534983.04</v>
      </c>
      <c r="O34" s="11">
        <v>369155</v>
      </c>
      <c r="P34" s="51">
        <f t="shared" si="1"/>
        <v>0.19386987300563566</v>
      </c>
    </row>
    <row r="35" spans="1:16" x14ac:dyDescent="0.25">
      <c r="A35" s="6" t="s">
        <v>41</v>
      </c>
      <c r="B35" s="6" t="s">
        <v>68</v>
      </c>
      <c r="C35" s="6" t="s">
        <v>34</v>
      </c>
      <c r="D35" s="6" t="s">
        <v>17</v>
      </c>
      <c r="E35" s="6" t="s">
        <v>18</v>
      </c>
      <c r="F35" s="7">
        <v>42020</v>
      </c>
      <c r="G35" s="8">
        <f t="shared" si="0"/>
        <v>2015</v>
      </c>
      <c r="H35" s="9">
        <v>177713572</v>
      </c>
      <c r="I35" s="7">
        <v>42064</v>
      </c>
      <c r="J35" s="10">
        <v>8250</v>
      </c>
      <c r="K35" s="9">
        <v>668.27</v>
      </c>
      <c r="L35" s="9">
        <v>502.54</v>
      </c>
      <c r="M35" s="11">
        <v>5513227.5</v>
      </c>
      <c r="N35" s="11">
        <v>4145955</v>
      </c>
      <c r="O35" s="11">
        <v>1367272.5</v>
      </c>
      <c r="P35" s="51">
        <f t="shared" si="1"/>
        <v>0.24799856345489099</v>
      </c>
    </row>
    <row r="36" spans="1:16" x14ac:dyDescent="0.25">
      <c r="A36" s="6" t="s">
        <v>28</v>
      </c>
      <c r="B36" s="6" t="s">
        <v>69</v>
      </c>
      <c r="C36" s="6" t="s">
        <v>58</v>
      </c>
      <c r="D36" s="6" t="s">
        <v>22</v>
      </c>
      <c r="E36" s="6" t="s">
        <v>35</v>
      </c>
      <c r="F36" s="7">
        <v>42791</v>
      </c>
      <c r="G36" s="8">
        <f t="shared" si="0"/>
        <v>2017</v>
      </c>
      <c r="H36" s="9">
        <v>756274640</v>
      </c>
      <c r="I36" s="7">
        <v>42791</v>
      </c>
      <c r="J36" s="10">
        <v>7327</v>
      </c>
      <c r="K36" s="9">
        <v>152.58000000000001</v>
      </c>
      <c r="L36" s="9">
        <v>97.44</v>
      </c>
      <c r="M36" s="11">
        <v>1117953.6599999999</v>
      </c>
      <c r="N36" s="11">
        <v>713942.88</v>
      </c>
      <c r="O36" s="11">
        <v>404010.78</v>
      </c>
      <c r="P36" s="51">
        <f t="shared" si="1"/>
        <v>0.36138419189933157</v>
      </c>
    </row>
    <row r="37" spans="1:16" x14ac:dyDescent="0.25">
      <c r="A37" s="6" t="s">
        <v>19</v>
      </c>
      <c r="B37" s="6" t="s">
        <v>70</v>
      </c>
      <c r="C37" s="6" t="s">
        <v>39</v>
      </c>
      <c r="D37" s="6" t="s">
        <v>17</v>
      </c>
      <c r="E37" s="6" t="s">
        <v>27</v>
      </c>
      <c r="F37" s="7">
        <v>42863</v>
      </c>
      <c r="G37" s="8">
        <f t="shared" si="0"/>
        <v>2017</v>
      </c>
      <c r="H37" s="9">
        <v>456767165</v>
      </c>
      <c r="I37" s="7">
        <v>42876</v>
      </c>
      <c r="J37" s="10">
        <v>6409</v>
      </c>
      <c r="K37" s="9">
        <v>81.73</v>
      </c>
      <c r="L37" s="9">
        <v>56.67</v>
      </c>
      <c r="M37" s="11">
        <v>523807.57</v>
      </c>
      <c r="N37" s="11">
        <v>363198.03</v>
      </c>
      <c r="O37" s="11">
        <v>160609.54</v>
      </c>
      <c r="P37" s="51">
        <f t="shared" si="1"/>
        <v>0.30661935641747218</v>
      </c>
    </row>
    <row r="38" spans="1:16" x14ac:dyDescent="0.25">
      <c r="A38" s="6" t="s">
        <v>71</v>
      </c>
      <c r="B38" s="6" t="s">
        <v>72</v>
      </c>
      <c r="C38" s="6" t="s">
        <v>30</v>
      </c>
      <c r="D38" s="6" t="s">
        <v>22</v>
      </c>
      <c r="E38" s="6" t="s">
        <v>27</v>
      </c>
      <c r="F38" s="7">
        <v>40869</v>
      </c>
      <c r="G38" s="8">
        <f t="shared" si="0"/>
        <v>2011</v>
      </c>
      <c r="H38" s="9">
        <v>162052476</v>
      </c>
      <c r="I38" s="7">
        <v>40880</v>
      </c>
      <c r="J38" s="10">
        <v>3784</v>
      </c>
      <c r="K38" s="9">
        <v>9.33</v>
      </c>
      <c r="L38" s="9">
        <v>6.92</v>
      </c>
      <c r="M38" s="11">
        <v>35304.720000000001</v>
      </c>
      <c r="N38" s="11">
        <v>26185.279999999999</v>
      </c>
      <c r="O38" s="11">
        <v>9119.44</v>
      </c>
      <c r="P38" s="51">
        <f t="shared" si="1"/>
        <v>0.25830653804930331</v>
      </c>
    </row>
    <row r="39" spans="1:16" x14ac:dyDescent="0.25">
      <c r="A39" s="6" t="s">
        <v>28</v>
      </c>
      <c r="B39" s="6" t="s">
        <v>64</v>
      </c>
      <c r="C39" s="6" t="s">
        <v>55</v>
      </c>
      <c r="D39" s="6" t="s">
        <v>22</v>
      </c>
      <c r="E39" s="6" t="s">
        <v>35</v>
      </c>
      <c r="F39" s="7">
        <v>42749</v>
      </c>
      <c r="G39" s="8">
        <f t="shared" si="0"/>
        <v>2017</v>
      </c>
      <c r="H39" s="9">
        <v>825304400</v>
      </c>
      <c r="I39" s="7">
        <v>42758</v>
      </c>
      <c r="J39" s="10">
        <v>4767</v>
      </c>
      <c r="K39" s="9">
        <v>421.89</v>
      </c>
      <c r="L39" s="9">
        <v>364.69</v>
      </c>
      <c r="M39" s="11">
        <v>2011149.63</v>
      </c>
      <c r="N39" s="11">
        <v>1738477.23</v>
      </c>
      <c r="O39" s="11">
        <v>272672.40000000002</v>
      </c>
      <c r="P39" s="51">
        <f t="shared" si="1"/>
        <v>0.13558036455000119</v>
      </c>
    </row>
    <row r="40" spans="1:16" x14ac:dyDescent="0.25">
      <c r="A40" s="6" t="s">
        <v>41</v>
      </c>
      <c r="B40" s="6" t="s">
        <v>73</v>
      </c>
      <c r="C40" s="6" t="s">
        <v>26</v>
      </c>
      <c r="D40" s="6" t="s">
        <v>22</v>
      </c>
      <c r="E40" s="6" t="s">
        <v>27</v>
      </c>
      <c r="F40" s="7">
        <v>41000</v>
      </c>
      <c r="G40" s="8">
        <f t="shared" si="0"/>
        <v>2012</v>
      </c>
      <c r="H40" s="9">
        <v>320009267</v>
      </c>
      <c r="I40" s="7">
        <v>41037</v>
      </c>
      <c r="J40" s="10">
        <v>6708</v>
      </c>
      <c r="K40" s="9">
        <v>651.21</v>
      </c>
      <c r="L40" s="9">
        <v>524.96</v>
      </c>
      <c r="M40" s="11">
        <v>4368316.68</v>
      </c>
      <c r="N40" s="11">
        <v>3521431.68</v>
      </c>
      <c r="O40" s="11">
        <v>846885</v>
      </c>
      <c r="P40" s="51">
        <f t="shared" si="1"/>
        <v>0.19386987300563568</v>
      </c>
    </row>
    <row r="41" spans="1:16" x14ac:dyDescent="0.25">
      <c r="A41" s="6" t="s">
        <v>24</v>
      </c>
      <c r="B41" s="6" t="s">
        <v>48</v>
      </c>
      <c r="C41" s="6" t="s">
        <v>26</v>
      </c>
      <c r="D41" s="6" t="s">
        <v>22</v>
      </c>
      <c r="E41" s="6" t="s">
        <v>35</v>
      </c>
      <c r="F41" s="7">
        <v>40955</v>
      </c>
      <c r="G41" s="8">
        <f t="shared" si="0"/>
        <v>2012</v>
      </c>
      <c r="H41" s="9">
        <v>189965903</v>
      </c>
      <c r="I41" s="7">
        <v>40967</v>
      </c>
      <c r="J41" s="10">
        <v>3987</v>
      </c>
      <c r="K41" s="9">
        <v>651.21</v>
      </c>
      <c r="L41" s="9">
        <v>524.96</v>
      </c>
      <c r="M41" s="11">
        <v>2596374.27</v>
      </c>
      <c r="N41" s="11">
        <v>2093015.52</v>
      </c>
      <c r="O41" s="11">
        <v>503358.75</v>
      </c>
      <c r="P41" s="51">
        <f t="shared" si="1"/>
        <v>0.19386987300563566</v>
      </c>
    </row>
    <row r="42" spans="1:16" x14ac:dyDescent="0.25">
      <c r="A42" s="6" t="s">
        <v>28</v>
      </c>
      <c r="B42" s="6" t="s">
        <v>74</v>
      </c>
      <c r="C42" s="6" t="s">
        <v>39</v>
      </c>
      <c r="D42" s="6" t="s">
        <v>22</v>
      </c>
      <c r="E42" s="6" t="s">
        <v>18</v>
      </c>
      <c r="F42" s="7">
        <v>42805</v>
      </c>
      <c r="G42" s="8">
        <f t="shared" si="0"/>
        <v>2017</v>
      </c>
      <c r="H42" s="9">
        <v>699285638</v>
      </c>
      <c r="I42" s="7">
        <v>42822</v>
      </c>
      <c r="J42" s="10">
        <v>3015</v>
      </c>
      <c r="K42" s="9">
        <v>81.73</v>
      </c>
      <c r="L42" s="9">
        <v>56.67</v>
      </c>
      <c r="M42" s="11">
        <v>246415.95</v>
      </c>
      <c r="N42" s="11">
        <v>170860.05</v>
      </c>
      <c r="O42" s="11">
        <v>75555.899999999994</v>
      </c>
      <c r="P42" s="51">
        <f t="shared" si="1"/>
        <v>0.30661935641747212</v>
      </c>
    </row>
    <row r="43" spans="1:16" x14ac:dyDescent="0.25">
      <c r="A43" s="6" t="s">
        <v>71</v>
      </c>
      <c r="B43" s="6" t="s">
        <v>75</v>
      </c>
      <c r="C43" s="6" t="s">
        <v>50</v>
      </c>
      <c r="D43" s="6" t="s">
        <v>22</v>
      </c>
      <c r="E43" s="6" t="s">
        <v>35</v>
      </c>
      <c r="F43" s="7">
        <v>40215</v>
      </c>
      <c r="G43" s="8">
        <f t="shared" si="0"/>
        <v>2010</v>
      </c>
      <c r="H43" s="9">
        <v>382392299</v>
      </c>
      <c r="I43" s="7">
        <v>40234</v>
      </c>
      <c r="J43" s="10">
        <v>7234</v>
      </c>
      <c r="K43" s="9">
        <v>437.2</v>
      </c>
      <c r="L43" s="9">
        <v>263.33</v>
      </c>
      <c r="M43" s="11">
        <v>3162704.8</v>
      </c>
      <c r="N43" s="11">
        <v>1904929.22</v>
      </c>
      <c r="O43" s="11">
        <v>1257775.58</v>
      </c>
      <c r="P43" s="51">
        <f t="shared" si="1"/>
        <v>0.3976898444647759</v>
      </c>
    </row>
    <row r="44" spans="1:16" x14ac:dyDescent="0.25">
      <c r="A44" s="6" t="s">
        <v>28</v>
      </c>
      <c r="B44" s="6" t="s">
        <v>64</v>
      </c>
      <c r="C44" s="6" t="s">
        <v>21</v>
      </c>
      <c r="D44" s="6" t="s">
        <v>17</v>
      </c>
      <c r="E44" s="6" t="s">
        <v>18</v>
      </c>
      <c r="F44" s="7">
        <v>41067</v>
      </c>
      <c r="G44" s="8">
        <f t="shared" si="0"/>
        <v>2012</v>
      </c>
      <c r="H44" s="9">
        <v>994022214</v>
      </c>
      <c r="I44" s="7">
        <v>41068</v>
      </c>
      <c r="J44" s="10">
        <v>2117</v>
      </c>
      <c r="K44" s="9">
        <v>205.7</v>
      </c>
      <c r="L44" s="9">
        <v>117.11</v>
      </c>
      <c r="M44" s="11">
        <v>435466.9</v>
      </c>
      <c r="N44" s="11">
        <v>247921.87</v>
      </c>
      <c r="O44" s="11">
        <v>187545.03</v>
      </c>
      <c r="P44" s="51">
        <f t="shared" si="1"/>
        <v>0.43067574137092851</v>
      </c>
    </row>
    <row r="45" spans="1:16" x14ac:dyDescent="0.25">
      <c r="A45" s="6" t="s">
        <v>24</v>
      </c>
      <c r="B45" s="6" t="s">
        <v>76</v>
      </c>
      <c r="C45" s="6" t="s">
        <v>37</v>
      </c>
      <c r="D45" s="6" t="s">
        <v>22</v>
      </c>
      <c r="E45" s="6" t="s">
        <v>18</v>
      </c>
      <c r="F45" s="7">
        <v>41188</v>
      </c>
      <c r="G45" s="8">
        <f t="shared" si="0"/>
        <v>2012</v>
      </c>
      <c r="H45" s="9">
        <v>759224212</v>
      </c>
      <c r="I45" s="7">
        <v>41223</v>
      </c>
      <c r="J45" s="10">
        <v>171</v>
      </c>
      <c r="K45" s="9">
        <v>154.06</v>
      </c>
      <c r="L45" s="9">
        <v>90.93</v>
      </c>
      <c r="M45" s="11">
        <v>26344.26</v>
      </c>
      <c r="N45" s="11">
        <v>15549.03</v>
      </c>
      <c r="O45" s="11">
        <v>10795.23</v>
      </c>
      <c r="P45" s="51">
        <f t="shared" si="1"/>
        <v>0.40977541217707386</v>
      </c>
    </row>
    <row r="46" spans="1:16" x14ac:dyDescent="0.25">
      <c r="A46" s="6" t="s">
        <v>41</v>
      </c>
      <c r="B46" s="6" t="s">
        <v>68</v>
      </c>
      <c r="C46" s="6" t="s">
        <v>44</v>
      </c>
      <c r="D46" s="6" t="s">
        <v>22</v>
      </c>
      <c r="E46" s="6" t="s">
        <v>18</v>
      </c>
      <c r="F46" s="7">
        <v>42322</v>
      </c>
      <c r="G46" s="8">
        <f t="shared" si="0"/>
        <v>2015</v>
      </c>
      <c r="H46" s="9">
        <v>223359620</v>
      </c>
      <c r="I46" s="7">
        <v>42326</v>
      </c>
      <c r="J46" s="10">
        <v>5930</v>
      </c>
      <c r="K46" s="9">
        <v>109.28</v>
      </c>
      <c r="L46" s="9">
        <v>35.840000000000003</v>
      </c>
      <c r="M46" s="11">
        <v>648030.4</v>
      </c>
      <c r="N46" s="11">
        <v>212531.20000000001</v>
      </c>
      <c r="O46" s="11">
        <v>435499.2</v>
      </c>
      <c r="P46" s="51">
        <f t="shared" si="1"/>
        <v>0.67203513909224011</v>
      </c>
    </row>
    <row r="47" spans="1:16" x14ac:dyDescent="0.25">
      <c r="A47" s="6" t="s">
        <v>28</v>
      </c>
      <c r="B47" s="6" t="s">
        <v>77</v>
      </c>
      <c r="C47" s="6" t="s">
        <v>21</v>
      </c>
      <c r="D47" s="6" t="s">
        <v>17</v>
      </c>
      <c r="E47" s="6" t="s">
        <v>18</v>
      </c>
      <c r="F47" s="7">
        <v>42458</v>
      </c>
      <c r="G47" s="8">
        <f t="shared" si="0"/>
        <v>2016</v>
      </c>
      <c r="H47" s="9">
        <v>902102267</v>
      </c>
      <c r="I47" s="7">
        <v>42489</v>
      </c>
      <c r="J47" s="10">
        <v>962</v>
      </c>
      <c r="K47" s="9">
        <v>205.7</v>
      </c>
      <c r="L47" s="9">
        <v>117.11</v>
      </c>
      <c r="M47" s="11">
        <v>197883.4</v>
      </c>
      <c r="N47" s="11">
        <v>112659.82</v>
      </c>
      <c r="O47" s="11">
        <v>85223.58</v>
      </c>
      <c r="P47" s="51">
        <f t="shared" si="1"/>
        <v>0.43067574137092857</v>
      </c>
    </row>
    <row r="48" spans="1:16" x14ac:dyDescent="0.25">
      <c r="A48" s="6" t="s">
        <v>24</v>
      </c>
      <c r="B48" s="6" t="s">
        <v>78</v>
      </c>
      <c r="C48" s="6" t="s">
        <v>50</v>
      </c>
      <c r="D48" s="6" t="s">
        <v>22</v>
      </c>
      <c r="E48" s="6" t="s">
        <v>23</v>
      </c>
      <c r="F48" s="7">
        <v>42735</v>
      </c>
      <c r="G48" s="8">
        <f t="shared" si="0"/>
        <v>2016</v>
      </c>
      <c r="H48" s="9">
        <v>331438481</v>
      </c>
      <c r="I48" s="7">
        <v>42735</v>
      </c>
      <c r="J48" s="10">
        <v>8867</v>
      </c>
      <c r="K48" s="9">
        <v>437.2</v>
      </c>
      <c r="L48" s="9">
        <v>263.33</v>
      </c>
      <c r="M48" s="11">
        <v>3876652.4</v>
      </c>
      <c r="N48" s="11">
        <v>2334947.11</v>
      </c>
      <c r="O48" s="11">
        <v>1541705.29</v>
      </c>
      <c r="P48" s="51">
        <f t="shared" si="1"/>
        <v>0.39768984446477584</v>
      </c>
    </row>
    <row r="49" spans="1:16" x14ac:dyDescent="0.25">
      <c r="A49" s="6" t="s">
        <v>24</v>
      </c>
      <c r="B49" s="6" t="s">
        <v>65</v>
      </c>
      <c r="C49" s="6" t="s">
        <v>39</v>
      </c>
      <c r="D49" s="6" t="s">
        <v>22</v>
      </c>
      <c r="E49" s="6" t="s">
        <v>35</v>
      </c>
      <c r="F49" s="7">
        <v>40535</v>
      </c>
      <c r="G49" s="8">
        <f t="shared" si="0"/>
        <v>2010</v>
      </c>
      <c r="H49" s="9">
        <v>617667090</v>
      </c>
      <c r="I49" s="7">
        <v>40574</v>
      </c>
      <c r="J49" s="10">
        <v>273</v>
      </c>
      <c r="K49" s="9">
        <v>81.73</v>
      </c>
      <c r="L49" s="9">
        <v>56.67</v>
      </c>
      <c r="M49" s="11">
        <v>22312.29</v>
      </c>
      <c r="N49" s="11">
        <v>15470.91</v>
      </c>
      <c r="O49" s="11">
        <v>6841.38</v>
      </c>
      <c r="P49" s="51">
        <f t="shared" si="1"/>
        <v>0.30661935641747218</v>
      </c>
    </row>
    <row r="50" spans="1:16" x14ac:dyDescent="0.25">
      <c r="A50" s="6" t="s">
        <v>24</v>
      </c>
      <c r="B50" s="6" t="s">
        <v>79</v>
      </c>
      <c r="C50" s="6" t="s">
        <v>44</v>
      </c>
      <c r="D50" s="6" t="s">
        <v>17</v>
      </c>
      <c r="E50" s="6" t="s">
        <v>23</v>
      </c>
      <c r="F50" s="7">
        <v>41926</v>
      </c>
      <c r="G50" s="8">
        <f t="shared" si="0"/>
        <v>2014</v>
      </c>
      <c r="H50" s="9">
        <v>787399423</v>
      </c>
      <c r="I50" s="7">
        <v>41957</v>
      </c>
      <c r="J50" s="10">
        <v>7842</v>
      </c>
      <c r="K50" s="9">
        <v>109.28</v>
      </c>
      <c r="L50" s="9">
        <v>35.840000000000003</v>
      </c>
      <c r="M50" s="11">
        <v>856973.76</v>
      </c>
      <c r="N50" s="11">
        <v>281057.28000000003</v>
      </c>
      <c r="O50" s="11">
        <v>575916.48</v>
      </c>
      <c r="P50" s="51">
        <f t="shared" si="1"/>
        <v>0.67203513909224011</v>
      </c>
    </row>
    <row r="51" spans="1:16" x14ac:dyDescent="0.25">
      <c r="A51" s="6" t="s">
        <v>28</v>
      </c>
      <c r="B51" s="6" t="s">
        <v>80</v>
      </c>
      <c r="C51" s="6" t="s">
        <v>26</v>
      </c>
      <c r="D51" s="6" t="s">
        <v>17</v>
      </c>
      <c r="E51" s="6" t="s">
        <v>23</v>
      </c>
      <c r="F51" s="7">
        <v>40919</v>
      </c>
      <c r="G51" s="8">
        <f t="shared" si="0"/>
        <v>2012</v>
      </c>
      <c r="H51" s="9">
        <v>837559306</v>
      </c>
      <c r="I51" s="7">
        <v>40921</v>
      </c>
      <c r="J51" s="10">
        <v>1266</v>
      </c>
      <c r="K51" s="9">
        <v>651.21</v>
      </c>
      <c r="L51" s="9">
        <v>524.96</v>
      </c>
      <c r="M51" s="11">
        <v>824431.86</v>
      </c>
      <c r="N51" s="11">
        <v>664599.36</v>
      </c>
      <c r="O51" s="11">
        <v>159832.5</v>
      </c>
      <c r="P51" s="51">
        <f t="shared" si="1"/>
        <v>0.19386987300563566</v>
      </c>
    </row>
    <row r="52" spans="1:16" x14ac:dyDescent="0.25">
      <c r="A52" s="6" t="s">
        <v>24</v>
      </c>
      <c r="B52" s="6" t="s">
        <v>81</v>
      </c>
      <c r="C52" s="6" t="s">
        <v>44</v>
      </c>
      <c r="D52" s="6" t="s">
        <v>22</v>
      </c>
      <c r="E52" s="6" t="s">
        <v>23</v>
      </c>
      <c r="F52" s="7">
        <v>40211</v>
      </c>
      <c r="G52" s="8">
        <f t="shared" si="0"/>
        <v>2010</v>
      </c>
      <c r="H52" s="9">
        <v>385383069</v>
      </c>
      <c r="I52" s="7">
        <v>40255</v>
      </c>
      <c r="J52" s="10">
        <v>2269</v>
      </c>
      <c r="K52" s="9">
        <v>109.28</v>
      </c>
      <c r="L52" s="9">
        <v>35.840000000000003</v>
      </c>
      <c r="M52" s="11">
        <v>247956.32</v>
      </c>
      <c r="N52" s="11">
        <v>81320.960000000006</v>
      </c>
      <c r="O52" s="11">
        <v>166635.35999999999</v>
      </c>
      <c r="P52" s="51">
        <f t="shared" si="1"/>
        <v>0.67203513909224</v>
      </c>
    </row>
    <row r="53" spans="1:16" x14ac:dyDescent="0.25">
      <c r="A53" s="6" t="s">
        <v>28</v>
      </c>
      <c r="B53" s="6" t="s">
        <v>82</v>
      </c>
      <c r="C53" s="6" t="s">
        <v>30</v>
      </c>
      <c r="D53" s="6" t="s">
        <v>22</v>
      </c>
      <c r="E53" s="6" t="s">
        <v>27</v>
      </c>
      <c r="F53" s="7">
        <v>41504</v>
      </c>
      <c r="G53" s="8">
        <f t="shared" si="0"/>
        <v>2013</v>
      </c>
      <c r="H53" s="9">
        <v>918419539</v>
      </c>
      <c r="I53" s="7">
        <v>41535</v>
      </c>
      <c r="J53" s="10">
        <v>9606</v>
      </c>
      <c r="K53" s="9">
        <v>9.33</v>
      </c>
      <c r="L53" s="9">
        <v>6.92</v>
      </c>
      <c r="M53" s="11">
        <v>89623.98</v>
      </c>
      <c r="N53" s="11">
        <v>66473.52</v>
      </c>
      <c r="O53" s="11">
        <v>23150.46</v>
      </c>
      <c r="P53" s="51">
        <f t="shared" si="1"/>
        <v>0.25830653804930331</v>
      </c>
    </row>
    <row r="54" spans="1:16" x14ac:dyDescent="0.25">
      <c r="A54" s="6" t="s">
        <v>71</v>
      </c>
      <c r="B54" s="6" t="s">
        <v>83</v>
      </c>
      <c r="C54" s="6" t="s">
        <v>21</v>
      </c>
      <c r="D54" s="6" t="s">
        <v>22</v>
      </c>
      <c r="E54" s="6" t="s">
        <v>35</v>
      </c>
      <c r="F54" s="7">
        <v>41358</v>
      </c>
      <c r="G54" s="8">
        <f t="shared" si="0"/>
        <v>2013</v>
      </c>
      <c r="H54" s="9">
        <v>844530045</v>
      </c>
      <c r="I54" s="7">
        <v>41361</v>
      </c>
      <c r="J54" s="10">
        <v>4063</v>
      </c>
      <c r="K54" s="9">
        <v>205.7</v>
      </c>
      <c r="L54" s="9">
        <v>117.11</v>
      </c>
      <c r="M54" s="11">
        <v>835759.1</v>
      </c>
      <c r="N54" s="11">
        <v>475817.93</v>
      </c>
      <c r="O54" s="11">
        <v>359941.17</v>
      </c>
      <c r="P54" s="51">
        <f t="shared" si="1"/>
        <v>0.43067574137092851</v>
      </c>
    </row>
    <row r="55" spans="1:16" x14ac:dyDescent="0.25">
      <c r="A55" s="6" t="s">
        <v>28</v>
      </c>
      <c r="B55" s="6" t="s">
        <v>84</v>
      </c>
      <c r="C55" s="6" t="s">
        <v>26</v>
      </c>
      <c r="D55" s="6" t="s">
        <v>17</v>
      </c>
      <c r="E55" s="6" t="s">
        <v>35</v>
      </c>
      <c r="F55" s="7">
        <v>40873</v>
      </c>
      <c r="G55" s="8">
        <f t="shared" si="0"/>
        <v>2011</v>
      </c>
      <c r="H55" s="9">
        <v>441888415</v>
      </c>
      <c r="I55" s="7">
        <v>40915</v>
      </c>
      <c r="J55" s="10">
        <v>3457</v>
      </c>
      <c r="K55" s="9">
        <v>651.21</v>
      </c>
      <c r="L55" s="9">
        <v>524.96</v>
      </c>
      <c r="M55" s="11">
        <v>2251232.9700000002</v>
      </c>
      <c r="N55" s="11">
        <v>1814786.72</v>
      </c>
      <c r="O55" s="11">
        <v>436446.25</v>
      </c>
      <c r="P55" s="51">
        <f t="shared" si="1"/>
        <v>0.19386987300563566</v>
      </c>
    </row>
    <row r="56" spans="1:16" x14ac:dyDescent="0.25">
      <c r="A56" s="6" t="s">
        <v>28</v>
      </c>
      <c r="B56" s="6" t="s">
        <v>29</v>
      </c>
      <c r="C56" s="6" t="s">
        <v>30</v>
      </c>
      <c r="D56" s="6" t="s">
        <v>17</v>
      </c>
      <c r="E56" s="6" t="s">
        <v>18</v>
      </c>
      <c r="F56" s="7">
        <v>41534</v>
      </c>
      <c r="G56" s="8">
        <f t="shared" si="0"/>
        <v>2013</v>
      </c>
      <c r="H56" s="9">
        <v>508980977</v>
      </c>
      <c r="I56" s="7">
        <v>41571</v>
      </c>
      <c r="J56" s="10">
        <v>7637</v>
      </c>
      <c r="K56" s="9">
        <v>9.33</v>
      </c>
      <c r="L56" s="9">
        <v>6.92</v>
      </c>
      <c r="M56" s="11">
        <v>71253.210000000006</v>
      </c>
      <c r="N56" s="11">
        <v>52848.04</v>
      </c>
      <c r="O56" s="11">
        <v>18405.169999999998</v>
      </c>
      <c r="P56" s="51">
        <f t="shared" si="1"/>
        <v>0.25830653804930326</v>
      </c>
    </row>
    <row r="57" spans="1:16" x14ac:dyDescent="0.25">
      <c r="A57" s="6" t="s">
        <v>28</v>
      </c>
      <c r="B57" s="6" t="s">
        <v>85</v>
      </c>
      <c r="C57" s="6" t="s">
        <v>44</v>
      </c>
      <c r="D57" s="6" t="s">
        <v>22</v>
      </c>
      <c r="E57" s="6" t="s">
        <v>23</v>
      </c>
      <c r="F57" s="7">
        <v>41068</v>
      </c>
      <c r="G57" s="8">
        <f t="shared" si="0"/>
        <v>2012</v>
      </c>
      <c r="H57" s="9">
        <v>114606559</v>
      </c>
      <c r="I57" s="7">
        <v>41087</v>
      </c>
      <c r="J57" s="10">
        <v>3482</v>
      </c>
      <c r="K57" s="9">
        <v>109.28</v>
      </c>
      <c r="L57" s="9">
        <v>35.840000000000003</v>
      </c>
      <c r="M57" s="11">
        <v>380512.96</v>
      </c>
      <c r="N57" s="11">
        <v>124794.88</v>
      </c>
      <c r="O57" s="11">
        <v>255718.08</v>
      </c>
      <c r="P57" s="51">
        <f t="shared" si="1"/>
        <v>0.67203513909224</v>
      </c>
    </row>
    <row r="58" spans="1:16" x14ac:dyDescent="0.25">
      <c r="A58" s="6" t="s">
        <v>14</v>
      </c>
      <c r="B58" s="6" t="s">
        <v>86</v>
      </c>
      <c r="C58" s="6" t="s">
        <v>44</v>
      </c>
      <c r="D58" s="6" t="s">
        <v>17</v>
      </c>
      <c r="E58" s="6" t="s">
        <v>23</v>
      </c>
      <c r="F58" s="7">
        <v>40359</v>
      </c>
      <c r="G58" s="8">
        <f t="shared" si="0"/>
        <v>2010</v>
      </c>
      <c r="H58" s="9">
        <v>647876489</v>
      </c>
      <c r="I58" s="7">
        <v>40391</v>
      </c>
      <c r="J58" s="10">
        <v>9905</v>
      </c>
      <c r="K58" s="9">
        <v>109.28</v>
      </c>
      <c r="L58" s="9">
        <v>35.840000000000003</v>
      </c>
      <c r="M58" s="11">
        <v>1082418.3999999999</v>
      </c>
      <c r="N58" s="11">
        <v>354995.20000000001</v>
      </c>
      <c r="O58" s="11">
        <v>727423.2</v>
      </c>
      <c r="P58" s="51">
        <f t="shared" si="1"/>
        <v>0.67203513909224011</v>
      </c>
    </row>
    <row r="59" spans="1:16" x14ac:dyDescent="0.25">
      <c r="A59" s="6" t="s">
        <v>24</v>
      </c>
      <c r="B59" s="6" t="s">
        <v>87</v>
      </c>
      <c r="C59" s="6" t="s">
        <v>50</v>
      </c>
      <c r="D59" s="6" t="s">
        <v>17</v>
      </c>
      <c r="E59" s="6" t="s">
        <v>18</v>
      </c>
      <c r="F59" s="7">
        <v>42058</v>
      </c>
      <c r="G59" s="8">
        <f t="shared" si="0"/>
        <v>2015</v>
      </c>
      <c r="H59" s="9">
        <v>868214595</v>
      </c>
      <c r="I59" s="7">
        <v>42065</v>
      </c>
      <c r="J59" s="10">
        <v>2847</v>
      </c>
      <c r="K59" s="9">
        <v>437.2</v>
      </c>
      <c r="L59" s="9">
        <v>263.33</v>
      </c>
      <c r="M59" s="11">
        <v>1244708.3999999999</v>
      </c>
      <c r="N59" s="11">
        <v>749700.51</v>
      </c>
      <c r="O59" s="11">
        <v>495007.89</v>
      </c>
      <c r="P59" s="51">
        <f t="shared" si="1"/>
        <v>0.3976898444647759</v>
      </c>
    </row>
    <row r="60" spans="1:16" x14ac:dyDescent="0.25">
      <c r="A60" s="6" t="s">
        <v>24</v>
      </c>
      <c r="B60" s="6" t="s">
        <v>88</v>
      </c>
      <c r="C60" s="6" t="s">
        <v>34</v>
      </c>
      <c r="D60" s="6" t="s">
        <v>22</v>
      </c>
      <c r="E60" s="6" t="s">
        <v>27</v>
      </c>
      <c r="F60" s="7">
        <v>40913</v>
      </c>
      <c r="G60" s="8">
        <f t="shared" si="0"/>
        <v>2012</v>
      </c>
      <c r="H60" s="9">
        <v>955357205</v>
      </c>
      <c r="I60" s="7">
        <v>40953</v>
      </c>
      <c r="J60" s="10">
        <v>282</v>
      </c>
      <c r="K60" s="9">
        <v>668.27</v>
      </c>
      <c r="L60" s="9">
        <v>502.54</v>
      </c>
      <c r="M60" s="11">
        <v>188452.14</v>
      </c>
      <c r="N60" s="11">
        <v>141716.28</v>
      </c>
      <c r="O60" s="11">
        <v>46735.86</v>
      </c>
      <c r="P60" s="51">
        <f t="shared" si="1"/>
        <v>0.24799856345489096</v>
      </c>
    </row>
    <row r="61" spans="1:16" x14ac:dyDescent="0.25">
      <c r="A61" s="6" t="s">
        <v>28</v>
      </c>
      <c r="B61" s="6" t="s">
        <v>69</v>
      </c>
      <c r="C61" s="6" t="s">
        <v>50</v>
      </c>
      <c r="D61" s="6" t="s">
        <v>17</v>
      </c>
      <c r="E61" s="6" t="s">
        <v>18</v>
      </c>
      <c r="F61" s="7">
        <v>41736</v>
      </c>
      <c r="G61" s="8">
        <f t="shared" si="0"/>
        <v>2014</v>
      </c>
      <c r="H61" s="9">
        <v>259353148</v>
      </c>
      <c r="I61" s="7">
        <v>41748</v>
      </c>
      <c r="J61" s="10">
        <v>7215</v>
      </c>
      <c r="K61" s="9">
        <v>437.2</v>
      </c>
      <c r="L61" s="9">
        <v>263.33</v>
      </c>
      <c r="M61" s="11">
        <v>3154398</v>
      </c>
      <c r="N61" s="11">
        <v>1899925.95</v>
      </c>
      <c r="O61" s="11">
        <v>1254472.05</v>
      </c>
      <c r="P61" s="51">
        <f t="shared" si="1"/>
        <v>0.39768984446477584</v>
      </c>
    </row>
    <row r="62" spans="1:16" x14ac:dyDescent="0.25">
      <c r="A62" s="6" t="s">
        <v>14</v>
      </c>
      <c r="B62" s="6" t="s">
        <v>67</v>
      </c>
      <c r="C62" s="6" t="s">
        <v>21</v>
      </c>
      <c r="D62" s="6" t="s">
        <v>17</v>
      </c>
      <c r="E62" s="6" t="s">
        <v>18</v>
      </c>
      <c r="F62" s="7">
        <v>41434</v>
      </c>
      <c r="G62" s="8">
        <f t="shared" si="0"/>
        <v>2013</v>
      </c>
      <c r="H62" s="9">
        <v>450563752</v>
      </c>
      <c r="I62" s="7">
        <v>41457</v>
      </c>
      <c r="J62" s="10">
        <v>682</v>
      </c>
      <c r="K62" s="9">
        <v>205.7</v>
      </c>
      <c r="L62" s="9">
        <v>117.11</v>
      </c>
      <c r="M62" s="11">
        <v>140287.4</v>
      </c>
      <c r="N62" s="11">
        <v>79869.02</v>
      </c>
      <c r="O62" s="11">
        <v>60418.38</v>
      </c>
      <c r="P62" s="51">
        <f t="shared" si="1"/>
        <v>0.43067574137092851</v>
      </c>
    </row>
    <row r="63" spans="1:16" x14ac:dyDescent="0.25">
      <c r="A63" s="6" t="s">
        <v>24</v>
      </c>
      <c r="B63" s="6" t="s">
        <v>89</v>
      </c>
      <c r="C63" s="6" t="s">
        <v>16</v>
      </c>
      <c r="D63" s="6" t="s">
        <v>22</v>
      </c>
      <c r="E63" s="6" t="s">
        <v>27</v>
      </c>
      <c r="F63" s="7">
        <v>41451</v>
      </c>
      <c r="G63" s="8">
        <f t="shared" si="0"/>
        <v>2013</v>
      </c>
      <c r="H63" s="9">
        <v>569662845</v>
      </c>
      <c r="I63" s="7">
        <v>41456</v>
      </c>
      <c r="J63" s="10">
        <v>4750</v>
      </c>
      <c r="K63" s="9">
        <v>255.28</v>
      </c>
      <c r="L63" s="9">
        <v>159.41999999999999</v>
      </c>
      <c r="M63" s="11">
        <v>1212580</v>
      </c>
      <c r="N63" s="11">
        <v>757245</v>
      </c>
      <c r="O63" s="11">
        <v>455335</v>
      </c>
      <c r="P63" s="51">
        <f t="shared" si="1"/>
        <v>0.37550924475086178</v>
      </c>
    </row>
    <row r="64" spans="1:16" x14ac:dyDescent="0.25">
      <c r="A64" s="6" t="s">
        <v>28</v>
      </c>
      <c r="B64" s="6" t="s">
        <v>51</v>
      </c>
      <c r="C64" s="6" t="s">
        <v>26</v>
      </c>
      <c r="D64" s="6" t="s">
        <v>22</v>
      </c>
      <c r="E64" s="6" t="s">
        <v>35</v>
      </c>
      <c r="F64" s="7">
        <v>40854</v>
      </c>
      <c r="G64" s="8">
        <f t="shared" si="0"/>
        <v>2011</v>
      </c>
      <c r="H64" s="9">
        <v>177636754</v>
      </c>
      <c r="I64" s="7">
        <v>40862</v>
      </c>
      <c r="J64" s="10">
        <v>5518</v>
      </c>
      <c r="K64" s="9">
        <v>651.21</v>
      </c>
      <c r="L64" s="9">
        <v>524.96</v>
      </c>
      <c r="M64" s="11">
        <v>3593376.78</v>
      </c>
      <c r="N64" s="11">
        <v>2896729.28</v>
      </c>
      <c r="O64" s="11">
        <v>696647.5</v>
      </c>
      <c r="P64" s="51">
        <f t="shared" si="1"/>
        <v>0.19386987300563568</v>
      </c>
    </row>
    <row r="65" spans="1:16" x14ac:dyDescent="0.25">
      <c r="A65" s="6" t="s">
        <v>71</v>
      </c>
      <c r="B65" s="6" t="s">
        <v>90</v>
      </c>
      <c r="C65" s="6" t="s">
        <v>44</v>
      </c>
      <c r="D65" s="6" t="s">
        <v>17</v>
      </c>
      <c r="E65" s="6" t="s">
        <v>18</v>
      </c>
      <c r="F65" s="7">
        <v>40481</v>
      </c>
      <c r="G65" s="8">
        <f t="shared" si="0"/>
        <v>2010</v>
      </c>
      <c r="H65" s="9">
        <v>705784308</v>
      </c>
      <c r="I65" s="7">
        <v>40499</v>
      </c>
      <c r="J65" s="10">
        <v>6116</v>
      </c>
      <c r="K65" s="9">
        <v>109.28</v>
      </c>
      <c r="L65" s="9">
        <v>35.840000000000003</v>
      </c>
      <c r="M65" s="11">
        <v>668356.48</v>
      </c>
      <c r="N65" s="11">
        <v>219197.44</v>
      </c>
      <c r="O65" s="11">
        <v>449159.04</v>
      </c>
      <c r="P65" s="51">
        <f t="shared" si="1"/>
        <v>0.67203513909224011</v>
      </c>
    </row>
    <row r="66" spans="1:16" x14ac:dyDescent="0.25">
      <c r="A66" s="6" t="s">
        <v>19</v>
      </c>
      <c r="B66" s="6" t="s">
        <v>91</v>
      </c>
      <c r="C66" s="6" t="s">
        <v>50</v>
      </c>
      <c r="D66" s="6" t="s">
        <v>17</v>
      </c>
      <c r="E66" s="6" t="s">
        <v>18</v>
      </c>
      <c r="F66" s="7">
        <v>41560</v>
      </c>
      <c r="G66" s="8">
        <f t="shared" si="0"/>
        <v>2013</v>
      </c>
      <c r="H66" s="9">
        <v>505716836</v>
      </c>
      <c r="I66" s="7">
        <v>41594</v>
      </c>
      <c r="J66" s="10">
        <v>1705</v>
      </c>
      <c r="K66" s="9">
        <v>437.2</v>
      </c>
      <c r="L66" s="9">
        <v>263.33</v>
      </c>
      <c r="M66" s="11">
        <v>745426</v>
      </c>
      <c r="N66" s="11">
        <v>448977.65</v>
      </c>
      <c r="O66" s="11">
        <v>296448.34999999998</v>
      </c>
      <c r="P66" s="51">
        <f t="shared" si="1"/>
        <v>0.39768984446477579</v>
      </c>
    </row>
    <row r="67" spans="1:16" x14ac:dyDescent="0.25">
      <c r="A67" s="6" t="s">
        <v>28</v>
      </c>
      <c r="B67" s="6" t="s">
        <v>31</v>
      </c>
      <c r="C67" s="6" t="s">
        <v>50</v>
      </c>
      <c r="D67" s="6" t="s">
        <v>17</v>
      </c>
      <c r="E67" s="6" t="s">
        <v>18</v>
      </c>
      <c r="F67" s="7">
        <v>41558</v>
      </c>
      <c r="G67" s="8">
        <f t="shared" ref="G67:G101" si="2">YEAR(F67)</f>
        <v>2013</v>
      </c>
      <c r="H67" s="9">
        <v>699358165</v>
      </c>
      <c r="I67" s="7">
        <v>41603</v>
      </c>
      <c r="J67" s="10">
        <v>4477</v>
      </c>
      <c r="K67" s="9">
        <v>437.2</v>
      </c>
      <c r="L67" s="9">
        <v>263.33</v>
      </c>
      <c r="M67" s="11">
        <v>1957344.4</v>
      </c>
      <c r="N67" s="11">
        <v>1178928.4099999999</v>
      </c>
      <c r="O67" s="11">
        <v>778415.99</v>
      </c>
      <c r="P67" s="51">
        <f t="shared" ref="P67:P102" si="3">O67/M67</f>
        <v>0.39768984446477584</v>
      </c>
    </row>
    <row r="68" spans="1:16" x14ac:dyDescent="0.25">
      <c r="A68" s="6" t="s">
        <v>28</v>
      </c>
      <c r="B68" s="6" t="s">
        <v>92</v>
      </c>
      <c r="C68" s="6" t="s">
        <v>39</v>
      </c>
      <c r="D68" s="6" t="s">
        <v>17</v>
      </c>
      <c r="E68" s="6" t="s">
        <v>27</v>
      </c>
      <c r="F68" s="7">
        <v>41098</v>
      </c>
      <c r="G68" s="8">
        <f t="shared" si="2"/>
        <v>2012</v>
      </c>
      <c r="H68" s="9">
        <v>228944623</v>
      </c>
      <c r="I68" s="7">
        <v>41099</v>
      </c>
      <c r="J68" s="10">
        <v>8656</v>
      </c>
      <c r="K68" s="9">
        <v>81.73</v>
      </c>
      <c r="L68" s="9">
        <v>56.67</v>
      </c>
      <c r="M68" s="11">
        <v>707454.88</v>
      </c>
      <c r="N68" s="11">
        <v>490535.52</v>
      </c>
      <c r="O68" s="11">
        <v>216919.36</v>
      </c>
      <c r="P68" s="51">
        <f t="shared" si="3"/>
        <v>0.30661935641747212</v>
      </c>
    </row>
    <row r="69" spans="1:16" x14ac:dyDescent="0.25">
      <c r="A69" s="6" t="s">
        <v>19</v>
      </c>
      <c r="B69" s="6" t="s">
        <v>93</v>
      </c>
      <c r="C69" s="6" t="s">
        <v>44</v>
      </c>
      <c r="D69" s="6" t="s">
        <v>17</v>
      </c>
      <c r="E69" s="6" t="s">
        <v>35</v>
      </c>
      <c r="F69" s="7">
        <v>42576</v>
      </c>
      <c r="G69" s="8">
        <f t="shared" si="2"/>
        <v>2016</v>
      </c>
      <c r="H69" s="9">
        <v>807025039</v>
      </c>
      <c r="I69" s="7">
        <v>42620</v>
      </c>
      <c r="J69" s="10">
        <v>5498</v>
      </c>
      <c r="K69" s="9">
        <v>109.28</v>
      </c>
      <c r="L69" s="9">
        <v>35.840000000000003</v>
      </c>
      <c r="M69" s="11">
        <v>600821.43999999994</v>
      </c>
      <c r="N69" s="11">
        <v>197048.32000000001</v>
      </c>
      <c r="O69" s="11">
        <v>403773.12</v>
      </c>
      <c r="P69" s="51">
        <f t="shared" si="3"/>
        <v>0.67203513909224022</v>
      </c>
    </row>
    <row r="70" spans="1:16" x14ac:dyDescent="0.25">
      <c r="A70" s="6" t="s">
        <v>24</v>
      </c>
      <c r="B70" s="6" t="s">
        <v>94</v>
      </c>
      <c r="C70" s="6" t="s">
        <v>26</v>
      </c>
      <c r="D70" s="6" t="s">
        <v>17</v>
      </c>
      <c r="E70" s="6" t="s">
        <v>18</v>
      </c>
      <c r="F70" s="7">
        <v>40475</v>
      </c>
      <c r="G70" s="8">
        <f t="shared" si="2"/>
        <v>2010</v>
      </c>
      <c r="H70" s="9">
        <v>166460740</v>
      </c>
      <c r="I70" s="7">
        <v>40499</v>
      </c>
      <c r="J70" s="10">
        <v>8287</v>
      </c>
      <c r="K70" s="9">
        <v>651.21</v>
      </c>
      <c r="L70" s="9">
        <v>524.96</v>
      </c>
      <c r="M70" s="11">
        <v>5396577.2699999996</v>
      </c>
      <c r="N70" s="11">
        <v>4350343.5199999996</v>
      </c>
      <c r="O70" s="11">
        <v>1046233.75</v>
      </c>
      <c r="P70" s="51">
        <f t="shared" si="3"/>
        <v>0.19386987300563568</v>
      </c>
    </row>
    <row r="71" spans="1:16" x14ac:dyDescent="0.25">
      <c r="A71" s="6" t="s">
        <v>28</v>
      </c>
      <c r="B71" s="6" t="s">
        <v>95</v>
      </c>
      <c r="C71" s="6" t="s">
        <v>44</v>
      </c>
      <c r="D71" s="6" t="s">
        <v>17</v>
      </c>
      <c r="E71" s="6" t="s">
        <v>27</v>
      </c>
      <c r="F71" s="7">
        <v>42119</v>
      </c>
      <c r="G71" s="8">
        <f t="shared" si="2"/>
        <v>2015</v>
      </c>
      <c r="H71" s="9">
        <v>610425555</v>
      </c>
      <c r="I71" s="7">
        <v>42152</v>
      </c>
      <c r="J71" s="10">
        <v>7342</v>
      </c>
      <c r="K71" s="9">
        <v>109.28</v>
      </c>
      <c r="L71" s="9">
        <v>35.840000000000003</v>
      </c>
      <c r="M71" s="11">
        <v>802333.76</v>
      </c>
      <c r="N71" s="11">
        <v>263137.28000000003</v>
      </c>
      <c r="O71" s="11">
        <v>539196.48</v>
      </c>
      <c r="P71" s="51">
        <f t="shared" si="3"/>
        <v>0.67203513909224011</v>
      </c>
    </row>
    <row r="72" spans="1:16" x14ac:dyDescent="0.25">
      <c r="A72" s="6" t="s">
        <v>41</v>
      </c>
      <c r="B72" s="6" t="s">
        <v>53</v>
      </c>
      <c r="C72" s="6" t="s">
        <v>26</v>
      </c>
      <c r="D72" s="6" t="s">
        <v>22</v>
      </c>
      <c r="E72" s="6" t="s">
        <v>35</v>
      </c>
      <c r="F72" s="7">
        <v>41387</v>
      </c>
      <c r="G72" s="8">
        <f t="shared" si="2"/>
        <v>2013</v>
      </c>
      <c r="H72" s="9">
        <v>462405812</v>
      </c>
      <c r="I72" s="7">
        <v>41414</v>
      </c>
      <c r="J72" s="10">
        <v>5010</v>
      </c>
      <c r="K72" s="9">
        <v>651.21</v>
      </c>
      <c r="L72" s="9">
        <v>524.96</v>
      </c>
      <c r="M72" s="11">
        <v>3262562.1</v>
      </c>
      <c r="N72" s="11">
        <v>2630049.6</v>
      </c>
      <c r="O72" s="11">
        <v>632512.5</v>
      </c>
      <c r="P72" s="51">
        <f t="shared" si="3"/>
        <v>0.19386987300563566</v>
      </c>
    </row>
    <row r="73" spans="1:16" x14ac:dyDescent="0.25">
      <c r="A73" s="6" t="s">
        <v>71</v>
      </c>
      <c r="B73" s="6" t="s">
        <v>90</v>
      </c>
      <c r="C73" s="6" t="s">
        <v>30</v>
      </c>
      <c r="D73" s="6" t="s">
        <v>22</v>
      </c>
      <c r="E73" s="6" t="s">
        <v>27</v>
      </c>
      <c r="F73" s="7">
        <v>42230</v>
      </c>
      <c r="G73" s="8">
        <f t="shared" si="2"/>
        <v>2015</v>
      </c>
      <c r="H73" s="9">
        <v>816200339</v>
      </c>
      <c r="I73" s="7">
        <v>42277</v>
      </c>
      <c r="J73" s="10">
        <v>673</v>
      </c>
      <c r="K73" s="9">
        <v>9.33</v>
      </c>
      <c r="L73" s="9">
        <v>6.92</v>
      </c>
      <c r="M73" s="11">
        <v>6279.09</v>
      </c>
      <c r="N73" s="11">
        <v>4657.16</v>
      </c>
      <c r="O73" s="11">
        <v>1621.93</v>
      </c>
      <c r="P73" s="51">
        <f t="shared" si="3"/>
        <v>0.25830653804930331</v>
      </c>
    </row>
    <row r="74" spans="1:16" x14ac:dyDescent="0.25">
      <c r="A74" s="6" t="s">
        <v>28</v>
      </c>
      <c r="B74" s="6" t="s">
        <v>96</v>
      </c>
      <c r="C74" s="6" t="s">
        <v>52</v>
      </c>
      <c r="D74" s="6" t="s">
        <v>22</v>
      </c>
      <c r="E74" s="6" t="s">
        <v>23</v>
      </c>
      <c r="F74" s="7">
        <v>40689</v>
      </c>
      <c r="G74" s="8">
        <f t="shared" si="2"/>
        <v>2011</v>
      </c>
      <c r="H74" s="9">
        <v>585920464</v>
      </c>
      <c r="I74" s="7">
        <v>40739</v>
      </c>
      <c r="J74" s="10">
        <v>5741</v>
      </c>
      <c r="K74" s="9">
        <v>47.45</v>
      </c>
      <c r="L74" s="9">
        <v>31.79</v>
      </c>
      <c r="M74" s="11">
        <v>272410.45</v>
      </c>
      <c r="N74" s="11">
        <v>182506.39</v>
      </c>
      <c r="O74" s="11">
        <v>89904.06</v>
      </c>
      <c r="P74" s="51">
        <f t="shared" si="3"/>
        <v>0.330031612223393</v>
      </c>
    </row>
    <row r="75" spans="1:16" x14ac:dyDescent="0.25">
      <c r="A75" s="6" t="s">
        <v>28</v>
      </c>
      <c r="B75" s="6" t="s">
        <v>69</v>
      </c>
      <c r="C75" s="6" t="s">
        <v>21</v>
      </c>
      <c r="D75" s="6" t="s">
        <v>22</v>
      </c>
      <c r="E75" s="6" t="s">
        <v>18</v>
      </c>
      <c r="F75" s="7">
        <v>42875</v>
      </c>
      <c r="G75" s="8">
        <f t="shared" si="2"/>
        <v>2017</v>
      </c>
      <c r="H75" s="9">
        <v>555990016</v>
      </c>
      <c r="I75" s="7">
        <v>42903</v>
      </c>
      <c r="J75" s="10">
        <v>8656</v>
      </c>
      <c r="K75" s="9">
        <v>205.7</v>
      </c>
      <c r="L75" s="9">
        <v>117.11</v>
      </c>
      <c r="M75" s="11">
        <v>1780539.2</v>
      </c>
      <c r="N75" s="11">
        <v>1013704.16</v>
      </c>
      <c r="O75" s="11">
        <v>766835.04</v>
      </c>
      <c r="P75" s="51">
        <f t="shared" si="3"/>
        <v>0.43067574137092857</v>
      </c>
    </row>
    <row r="76" spans="1:16" x14ac:dyDescent="0.25">
      <c r="A76" s="6" t="s">
        <v>71</v>
      </c>
      <c r="B76" s="6" t="s">
        <v>97</v>
      </c>
      <c r="C76" s="6" t="s">
        <v>50</v>
      </c>
      <c r="D76" s="6" t="s">
        <v>17</v>
      </c>
      <c r="E76" s="6" t="s">
        <v>27</v>
      </c>
      <c r="F76" s="7">
        <v>41460</v>
      </c>
      <c r="G76" s="8">
        <f t="shared" si="2"/>
        <v>2013</v>
      </c>
      <c r="H76" s="9">
        <v>231145322</v>
      </c>
      <c r="I76" s="7">
        <v>41502</v>
      </c>
      <c r="J76" s="10">
        <v>9892</v>
      </c>
      <c r="K76" s="9">
        <v>437.2</v>
      </c>
      <c r="L76" s="9">
        <v>263.33</v>
      </c>
      <c r="M76" s="11">
        <v>4324782.4000000004</v>
      </c>
      <c r="N76" s="11">
        <v>2604860.36</v>
      </c>
      <c r="O76" s="11">
        <v>1719922.04</v>
      </c>
      <c r="P76" s="51">
        <f t="shared" si="3"/>
        <v>0.39768984446477584</v>
      </c>
    </row>
    <row r="77" spans="1:16" x14ac:dyDescent="0.25">
      <c r="A77" s="6" t="s">
        <v>98</v>
      </c>
      <c r="B77" s="6" t="s">
        <v>99</v>
      </c>
      <c r="C77" s="6" t="s">
        <v>34</v>
      </c>
      <c r="D77" s="6" t="s">
        <v>17</v>
      </c>
      <c r="E77" s="6" t="s">
        <v>23</v>
      </c>
      <c r="F77" s="7">
        <v>41949</v>
      </c>
      <c r="G77" s="8">
        <f t="shared" si="2"/>
        <v>2014</v>
      </c>
      <c r="H77" s="9">
        <v>986435210</v>
      </c>
      <c r="I77" s="7">
        <v>41985</v>
      </c>
      <c r="J77" s="10">
        <v>6954</v>
      </c>
      <c r="K77" s="9">
        <v>668.27</v>
      </c>
      <c r="L77" s="9">
        <v>502.54</v>
      </c>
      <c r="M77" s="11">
        <v>4647149.58</v>
      </c>
      <c r="N77" s="11">
        <v>3494663.16</v>
      </c>
      <c r="O77" s="11">
        <v>1152486.42</v>
      </c>
      <c r="P77" s="51">
        <f t="shared" si="3"/>
        <v>0.24799856345489096</v>
      </c>
    </row>
    <row r="78" spans="1:16" x14ac:dyDescent="0.25">
      <c r="A78" s="6" t="s">
        <v>14</v>
      </c>
      <c r="B78" s="6" t="s">
        <v>100</v>
      </c>
      <c r="C78" s="6" t="s">
        <v>52</v>
      </c>
      <c r="D78" s="6" t="s">
        <v>22</v>
      </c>
      <c r="E78" s="6" t="s">
        <v>23</v>
      </c>
      <c r="F78" s="7">
        <v>41940</v>
      </c>
      <c r="G78" s="8">
        <f t="shared" si="2"/>
        <v>2014</v>
      </c>
      <c r="H78" s="9">
        <v>217221009</v>
      </c>
      <c r="I78" s="7">
        <v>41958</v>
      </c>
      <c r="J78" s="10">
        <v>9379</v>
      </c>
      <c r="K78" s="9">
        <v>47.45</v>
      </c>
      <c r="L78" s="9">
        <v>31.79</v>
      </c>
      <c r="M78" s="11">
        <v>445033.55</v>
      </c>
      <c r="N78" s="11">
        <v>298158.40999999997</v>
      </c>
      <c r="O78" s="11">
        <v>146875.14000000001</v>
      </c>
      <c r="P78" s="51">
        <f t="shared" si="3"/>
        <v>0.33003161222339311</v>
      </c>
    </row>
    <row r="79" spans="1:16" x14ac:dyDescent="0.25">
      <c r="A79" s="6" t="s">
        <v>41</v>
      </c>
      <c r="B79" s="6" t="s">
        <v>101</v>
      </c>
      <c r="C79" s="6" t="s">
        <v>37</v>
      </c>
      <c r="D79" s="6" t="s">
        <v>17</v>
      </c>
      <c r="E79" s="6" t="s">
        <v>23</v>
      </c>
      <c r="F79" s="7">
        <v>40801</v>
      </c>
      <c r="G79" s="8">
        <f t="shared" si="2"/>
        <v>2011</v>
      </c>
      <c r="H79" s="9">
        <v>789176547</v>
      </c>
      <c r="I79" s="7">
        <v>40839</v>
      </c>
      <c r="J79" s="10">
        <v>3732</v>
      </c>
      <c r="K79" s="9">
        <v>154.06</v>
      </c>
      <c r="L79" s="9">
        <v>90.93</v>
      </c>
      <c r="M79" s="11">
        <v>574951.92000000004</v>
      </c>
      <c r="N79" s="11">
        <v>339350.76</v>
      </c>
      <c r="O79" s="11">
        <v>235601.16</v>
      </c>
      <c r="P79" s="51">
        <f t="shared" si="3"/>
        <v>0.40977541217707386</v>
      </c>
    </row>
    <row r="80" spans="1:16" x14ac:dyDescent="0.25">
      <c r="A80" s="6" t="s">
        <v>24</v>
      </c>
      <c r="B80" s="6" t="s">
        <v>102</v>
      </c>
      <c r="C80" s="6" t="s">
        <v>16</v>
      </c>
      <c r="D80" s="6" t="s">
        <v>17</v>
      </c>
      <c r="E80" s="6" t="s">
        <v>18</v>
      </c>
      <c r="F80" s="7">
        <v>41058</v>
      </c>
      <c r="G80" s="8">
        <f t="shared" si="2"/>
        <v>2012</v>
      </c>
      <c r="H80" s="9">
        <v>688288152</v>
      </c>
      <c r="I80" s="7">
        <v>41062</v>
      </c>
      <c r="J80" s="10">
        <v>8614</v>
      </c>
      <c r="K80" s="9">
        <v>255.28</v>
      </c>
      <c r="L80" s="9">
        <v>159.41999999999999</v>
      </c>
      <c r="M80" s="11">
        <v>2198981.92</v>
      </c>
      <c r="N80" s="11">
        <v>1373243.88</v>
      </c>
      <c r="O80" s="11">
        <v>825738.04</v>
      </c>
      <c r="P80" s="51">
        <f t="shared" si="3"/>
        <v>0.37550924475086184</v>
      </c>
    </row>
    <row r="81" spans="1:16" x14ac:dyDescent="0.25">
      <c r="A81" s="6" t="s">
        <v>14</v>
      </c>
      <c r="B81" s="6" t="s">
        <v>103</v>
      </c>
      <c r="C81" s="6" t="s">
        <v>50</v>
      </c>
      <c r="D81" s="6" t="s">
        <v>22</v>
      </c>
      <c r="E81" s="6" t="s">
        <v>18</v>
      </c>
      <c r="F81" s="7">
        <v>41475</v>
      </c>
      <c r="G81" s="8">
        <f t="shared" si="2"/>
        <v>2013</v>
      </c>
      <c r="H81" s="9">
        <v>670854651</v>
      </c>
      <c r="I81" s="7">
        <v>41493</v>
      </c>
      <c r="J81" s="10">
        <v>9654</v>
      </c>
      <c r="K81" s="9">
        <v>437.2</v>
      </c>
      <c r="L81" s="9">
        <v>263.33</v>
      </c>
      <c r="M81" s="11">
        <v>4220728.8</v>
      </c>
      <c r="N81" s="11">
        <v>2542187.8199999998</v>
      </c>
      <c r="O81" s="11">
        <v>1678540.98</v>
      </c>
      <c r="P81" s="51">
        <f t="shared" si="3"/>
        <v>0.39768984446477584</v>
      </c>
    </row>
    <row r="82" spans="1:16" x14ac:dyDescent="0.25">
      <c r="A82" s="6" t="s">
        <v>24</v>
      </c>
      <c r="B82" s="6" t="s">
        <v>104</v>
      </c>
      <c r="C82" s="6" t="s">
        <v>34</v>
      </c>
      <c r="D82" s="6" t="s">
        <v>17</v>
      </c>
      <c r="E82" s="6" t="s">
        <v>27</v>
      </c>
      <c r="F82" s="7">
        <v>41203</v>
      </c>
      <c r="G82" s="8">
        <f t="shared" si="2"/>
        <v>2012</v>
      </c>
      <c r="H82" s="9">
        <v>213487374</v>
      </c>
      <c r="I82" s="7">
        <v>41243</v>
      </c>
      <c r="J82" s="10">
        <v>4513</v>
      </c>
      <c r="K82" s="9">
        <v>668.27</v>
      </c>
      <c r="L82" s="9">
        <v>502.54</v>
      </c>
      <c r="M82" s="11">
        <v>3015902.51</v>
      </c>
      <c r="N82" s="11">
        <v>2267963.02</v>
      </c>
      <c r="O82" s="11">
        <v>747939.49</v>
      </c>
      <c r="P82" s="51">
        <f t="shared" si="3"/>
        <v>0.24799856345489099</v>
      </c>
    </row>
    <row r="83" spans="1:16" x14ac:dyDescent="0.25">
      <c r="A83" s="6" t="s">
        <v>71</v>
      </c>
      <c r="B83" s="6" t="s">
        <v>105</v>
      </c>
      <c r="C83" s="6" t="s">
        <v>44</v>
      </c>
      <c r="D83" s="6" t="s">
        <v>22</v>
      </c>
      <c r="E83" s="6" t="s">
        <v>27</v>
      </c>
      <c r="F83" s="7">
        <v>41170</v>
      </c>
      <c r="G83" s="8">
        <f t="shared" si="2"/>
        <v>2012</v>
      </c>
      <c r="H83" s="9">
        <v>663110148</v>
      </c>
      <c r="I83" s="7">
        <v>41190</v>
      </c>
      <c r="J83" s="10">
        <v>7884</v>
      </c>
      <c r="K83" s="9">
        <v>109.28</v>
      </c>
      <c r="L83" s="9">
        <v>35.840000000000003</v>
      </c>
      <c r="M83" s="11">
        <v>861563.52</v>
      </c>
      <c r="N83" s="11">
        <v>282562.56</v>
      </c>
      <c r="O83" s="11">
        <v>579000.96</v>
      </c>
      <c r="P83" s="51">
        <f t="shared" si="3"/>
        <v>0.67203513909224011</v>
      </c>
    </row>
    <row r="84" spans="1:16" x14ac:dyDescent="0.25">
      <c r="A84" s="6" t="s">
        <v>71</v>
      </c>
      <c r="B84" s="6" t="s">
        <v>106</v>
      </c>
      <c r="C84" s="6" t="s">
        <v>50</v>
      </c>
      <c r="D84" s="6" t="s">
        <v>22</v>
      </c>
      <c r="E84" s="6" t="s">
        <v>18</v>
      </c>
      <c r="F84" s="7">
        <v>42689</v>
      </c>
      <c r="G84" s="8">
        <f t="shared" si="2"/>
        <v>2016</v>
      </c>
      <c r="H84" s="9">
        <v>286959302</v>
      </c>
      <c r="I84" s="7">
        <v>42712</v>
      </c>
      <c r="J84" s="10">
        <v>6489</v>
      </c>
      <c r="K84" s="9">
        <v>437.2</v>
      </c>
      <c r="L84" s="9">
        <v>263.33</v>
      </c>
      <c r="M84" s="11">
        <v>2836990.8</v>
      </c>
      <c r="N84" s="11">
        <v>1708748.37</v>
      </c>
      <c r="O84" s="11">
        <v>1128242.43</v>
      </c>
      <c r="P84" s="51">
        <f t="shared" si="3"/>
        <v>0.39768984446477584</v>
      </c>
    </row>
    <row r="85" spans="1:16" x14ac:dyDescent="0.25">
      <c r="A85" s="6" t="s">
        <v>28</v>
      </c>
      <c r="B85" s="6" t="s">
        <v>107</v>
      </c>
      <c r="C85" s="6" t="s">
        <v>58</v>
      </c>
      <c r="D85" s="6" t="s">
        <v>22</v>
      </c>
      <c r="E85" s="6" t="s">
        <v>27</v>
      </c>
      <c r="F85" s="7">
        <v>40547</v>
      </c>
      <c r="G85" s="8">
        <f t="shared" si="2"/>
        <v>2011</v>
      </c>
      <c r="H85" s="9">
        <v>122583663</v>
      </c>
      <c r="I85" s="7">
        <v>40548</v>
      </c>
      <c r="J85" s="10">
        <v>4085</v>
      </c>
      <c r="K85" s="9">
        <v>152.58000000000001</v>
      </c>
      <c r="L85" s="9">
        <v>97.44</v>
      </c>
      <c r="M85" s="11">
        <v>623289.30000000005</v>
      </c>
      <c r="N85" s="11">
        <v>398042.4</v>
      </c>
      <c r="O85" s="11">
        <v>225246.9</v>
      </c>
      <c r="P85" s="51">
        <f t="shared" si="3"/>
        <v>0.36138419189933146</v>
      </c>
    </row>
    <row r="86" spans="1:16" x14ac:dyDescent="0.25">
      <c r="A86" s="6" t="s">
        <v>28</v>
      </c>
      <c r="B86" s="6" t="s">
        <v>108</v>
      </c>
      <c r="C86" s="6" t="s">
        <v>37</v>
      </c>
      <c r="D86" s="6" t="s">
        <v>22</v>
      </c>
      <c r="E86" s="6" t="s">
        <v>27</v>
      </c>
      <c r="F86" s="7">
        <v>40986</v>
      </c>
      <c r="G86" s="8">
        <f t="shared" si="2"/>
        <v>2012</v>
      </c>
      <c r="H86" s="9">
        <v>827844560</v>
      </c>
      <c r="I86" s="7">
        <v>41006</v>
      </c>
      <c r="J86" s="10">
        <v>6457</v>
      </c>
      <c r="K86" s="9">
        <v>154.06</v>
      </c>
      <c r="L86" s="9">
        <v>90.93</v>
      </c>
      <c r="M86" s="11">
        <v>994765.42</v>
      </c>
      <c r="N86" s="11">
        <v>587135.01</v>
      </c>
      <c r="O86" s="11">
        <v>407630.41</v>
      </c>
      <c r="P86" s="51">
        <f t="shared" si="3"/>
        <v>0.40977541217707381</v>
      </c>
    </row>
    <row r="87" spans="1:16" x14ac:dyDescent="0.25">
      <c r="A87" s="6" t="s">
        <v>98</v>
      </c>
      <c r="B87" s="6" t="s">
        <v>99</v>
      </c>
      <c r="C87" s="6" t="s">
        <v>39</v>
      </c>
      <c r="D87" s="6" t="s">
        <v>17</v>
      </c>
      <c r="E87" s="6" t="s">
        <v>27</v>
      </c>
      <c r="F87" s="7">
        <v>40956</v>
      </c>
      <c r="G87" s="8">
        <f t="shared" si="2"/>
        <v>2012</v>
      </c>
      <c r="H87" s="9">
        <v>430915820</v>
      </c>
      <c r="I87" s="7">
        <v>40988</v>
      </c>
      <c r="J87" s="10">
        <v>6422</v>
      </c>
      <c r="K87" s="9">
        <v>81.73</v>
      </c>
      <c r="L87" s="9">
        <v>56.67</v>
      </c>
      <c r="M87" s="11">
        <v>524870.06000000006</v>
      </c>
      <c r="N87" s="11">
        <v>363934.74</v>
      </c>
      <c r="O87" s="11">
        <v>160935.32</v>
      </c>
      <c r="P87" s="51">
        <f t="shared" si="3"/>
        <v>0.30661935641747212</v>
      </c>
    </row>
    <row r="88" spans="1:16" x14ac:dyDescent="0.25">
      <c r="A88" s="6" t="s">
        <v>28</v>
      </c>
      <c r="B88" s="6" t="s">
        <v>29</v>
      </c>
      <c r="C88" s="6" t="s">
        <v>52</v>
      </c>
      <c r="D88" s="6" t="s">
        <v>17</v>
      </c>
      <c r="E88" s="6" t="s">
        <v>23</v>
      </c>
      <c r="F88" s="7">
        <v>40559</v>
      </c>
      <c r="G88" s="8">
        <f t="shared" si="2"/>
        <v>2011</v>
      </c>
      <c r="H88" s="9">
        <v>180283772</v>
      </c>
      <c r="I88" s="7">
        <v>40564</v>
      </c>
      <c r="J88" s="10">
        <v>8829</v>
      </c>
      <c r="K88" s="9">
        <v>47.45</v>
      </c>
      <c r="L88" s="9">
        <v>31.79</v>
      </c>
      <c r="M88" s="11">
        <v>418936.05</v>
      </c>
      <c r="N88" s="11">
        <v>280673.90999999997</v>
      </c>
      <c r="O88" s="11">
        <v>138262.14000000001</v>
      </c>
      <c r="P88" s="51">
        <f t="shared" si="3"/>
        <v>0.33003161222339311</v>
      </c>
    </row>
    <row r="89" spans="1:16" x14ac:dyDescent="0.25">
      <c r="A89" s="6" t="s">
        <v>28</v>
      </c>
      <c r="B89" s="6" t="s">
        <v>64</v>
      </c>
      <c r="C89" s="6" t="s">
        <v>16</v>
      </c>
      <c r="D89" s="6" t="s">
        <v>17</v>
      </c>
      <c r="E89" s="6" t="s">
        <v>35</v>
      </c>
      <c r="F89" s="7">
        <v>41673</v>
      </c>
      <c r="G89" s="8">
        <f t="shared" si="2"/>
        <v>2014</v>
      </c>
      <c r="H89" s="9">
        <v>494747245</v>
      </c>
      <c r="I89" s="7">
        <v>41718</v>
      </c>
      <c r="J89" s="10">
        <v>5559</v>
      </c>
      <c r="K89" s="9">
        <v>255.28</v>
      </c>
      <c r="L89" s="9">
        <v>159.41999999999999</v>
      </c>
      <c r="M89" s="11">
        <v>1419101.52</v>
      </c>
      <c r="N89" s="11">
        <v>886215.78</v>
      </c>
      <c r="O89" s="11">
        <v>532885.74</v>
      </c>
      <c r="P89" s="51">
        <f t="shared" si="3"/>
        <v>0.37550924475086178</v>
      </c>
    </row>
    <row r="90" spans="1:16" x14ac:dyDescent="0.25">
      <c r="A90" s="6" t="s">
        <v>71</v>
      </c>
      <c r="B90" s="6" t="s">
        <v>109</v>
      </c>
      <c r="C90" s="6" t="s">
        <v>30</v>
      </c>
      <c r="D90" s="6" t="s">
        <v>22</v>
      </c>
      <c r="E90" s="6" t="s">
        <v>35</v>
      </c>
      <c r="F90" s="7">
        <v>41029</v>
      </c>
      <c r="G90" s="8">
        <f t="shared" si="2"/>
        <v>2012</v>
      </c>
      <c r="H90" s="9">
        <v>513417565</v>
      </c>
      <c r="I90" s="7">
        <v>41047</v>
      </c>
      <c r="J90" s="10">
        <v>522</v>
      </c>
      <c r="K90" s="9">
        <v>9.33</v>
      </c>
      <c r="L90" s="9">
        <v>6.92</v>
      </c>
      <c r="M90" s="11">
        <v>4870.26</v>
      </c>
      <c r="N90" s="11">
        <v>3612.24</v>
      </c>
      <c r="O90" s="11">
        <v>1258.02</v>
      </c>
      <c r="P90" s="51">
        <f t="shared" si="3"/>
        <v>0.25830653804930331</v>
      </c>
    </row>
    <row r="91" spans="1:16" x14ac:dyDescent="0.25">
      <c r="A91" s="6" t="s">
        <v>24</v>
      </c>
      <c r="B91" s="6" t="s">
        <v>110</v>
      </c>
      <c r="C91" s="6" t="s">
        <v>52</v>
      </c>
      <c r="D91" s="6" t="s">
        <v>17</v>
      </c>
      <c r="E91" s="6" t="s">
        <v>23</v>
      </c>
      <c r="F91" s="7">
        <v>42666</v>
      </c>
      <c r="G91" s="8">
        <f t="shared" si="2"/>
        <v>2016</v>
      </c>
      <c r="H91" s="9">
        <v>345718562</v>
      </c>
      <c r="I91" s="7">
        <v>42699</v>
      </c>
      <c r="J91" s="10">
        <v>4660</v>
      </c>
      <c r="K91" s="9">
        <v>47.45</v>
      </c>
      <c r="L91" s="9">
        <v>31.79</v>
      </c>
      <c r="M91" s="11">
        <v>221117</v>
      </c>
      <c r="N91" s="11">
        <v>148141.4</v>
      </c>
      <c r="O91" s="11">
        <v>72975.600000000006</v>
      </c>
      <c r="P91" s="51">
        <f t="shared" si="3"/>
        <v>0.33003161222339306</v>
      </c>
    </row>
    <row r="92" spans="1:16" x14ac:dyDescent="0.25">
      <c r="A92" s="6" t="s">
        <v>28</v>
      </c>
      <c r="B92" s="6" t="s">
        <v>84</v>
      </c>
      <c r="C92" s="6" t="s">
        <v>26</v>
      </c>
      <c r="D92" s="6" t="s">
        <v>17</v>
      </c>
      <c r="E92" s="6" t="s">
        <v>18</v>
      </c>
      <c r="F92" s="7">
        <v>42710</v>
      </c>
      <c r="G92" s="8">
        <f t="shared" si="2"/>
        <v>2016</v>
      </c>
      <c r="H92" s="9">
        <v>621386563</v>
      </c>
      <c r="I92" s="7">
        <v>42718</v>
      </c>
      <c r="J92" s="10">
        <v>948</v>
      </c>
      <c r="K92" s="9">
        <v>651.21</v>
      </c>
      <c r="L92" s="9">
        <v>524.96</v>
      </c>
      <c r="M92" s="11">
        <v>617347.07999999996</v>
      </c>
      <c r="N92" s="11">
        <v>497662.08</v>
      </c>
      <c r="O92" s="11">
        <v>119685</v>
      </c>
      <c r="P92" s="51">
        <f t="shared" si="3"/>
        <v>0.19386987300563568</v>
      </c>
    </row>
    <row r="93" spans="1:16" x14ac:dyDescent="0.25">
      <c r="A93" s="6" t="s">
        <v>14</v>
      </c>
      <c r="B93" s="6" t="s">
        <v>67</v>
      </c>
      <c r="C93" s="6" t="s">
        <v>52</v>
      </c>
      <c r="D93" s="6" t="s">
        <v>17</v>
      </c>
      <c r="E93" s="6" t="s">
        <v>18</v>
      </c>
      <c r="F93" s="7">
        <v>41827</v>
      </c>
      <c r="G93" s="8">
        <f t="shared" si="2"/>
        <v>2014</v>
      </c>
      <c r="H93" s="9">
        <v>240470397</v>
      </c>
      <c r="I93" s="7">
        <v>41831</v>
      </c>
      <c r="J93" s="10">
        <v>9389</v>
      </c>
      <c r="K93" s="9">
        <v>47.45</v>
      </c>
      <c r="L93" s="9">
        <v>31.79</v>
      </c>
      <c r="M93" s="11">
        <v>445508.05</v>
      </c>
      <c r="N93" s="11">
        <v>298476.31</v>
      </c>
      <c r="O93" s="11">
        <v>147031.74</v>
      </c>
      <c r="P93" s="51">
        <f t="shared" si="3"/>
        <v>0.33003161222339306</v>
      </c>
    </row>
    <row r="94" spans="1:16" x14ac:dyDescent="0.25">
      <c r="A94" s="6" t="s">
        <v>71</v>
      </c>
      <c r="B94" s="6" t="s">
        <v>75</v>
      </c>
      <c r="C94" s="6" t="s">
        <v>26</v>
      </c>
      <c r="D94" s="6" t="s">
        <v>22</v>
      </c>
      <c r="E94" s="6" t="s">
        <v>35</v>
      </c>
      <c r="F94" s="7">
        <v>41073</v>
      </c>
      <c r="G94" s="8">
        <f t="shared" si="2"/>
        <v>2012</v>
      </c>
      <c r="H94" s="9">
        <v>423331391</v>
      </c>
      <c r="I94" s="7">
        <v>41114</v>
      </c>
      <c r="J94" s="10">
        <v>2021</v>
      </c>
      <c r="K94" s="9">
        <v>651.21</v>
      </c>
      <c r="L94" s="9">
        <v>524.96</v>
      </c>
      <c r="M94" s="11">
        <v>1316095.4099999999</v>
      </c>
      <c r="N94" s="11">
        <v>1060944.1599999999</v>
      </c>
      <c r="O94" s="11">
        <v>255151.25</v>
      </c>
      <c r="P94" s="51">
        <f t="shared" si="3"/>
        <v>0.19386987300563568</v>
      </c>
    </row>
    <row r="95" spans="1:16" x14ac:dyDescent="0.25">
      <c r="A95" s="6" t="s">
        <v>24</v>
      </c>
      <c r="B95" s="6" t="s">
        <v>111</v>
      </c>
      <c r="C95" s="6" t="s">
        <v>50</v>
      </c>
      <c r="D95" s="6" t="s">
        <v>22</v>
      </c>
      <c r="E95" s="6" t="s">
        <v>18</v>
      </c>
      <c r="F95" s="7">
        <v>40508</v>
      </c>
      <c r="G95" s="8">
        <f t="shared" si="2"/>
        <v>2010</v>
      </c>
      <c r="H95" s="9">
        <v>660643374</v>
      </c>
      <c r="I95" s="7">
        <v>40537</v>
      </c>
      <c r="J95" s="10">
        <v>7910</v>
      </c>
      <c r="K95" s="9">
        <v>437.2</v>
      </c>
      <c r="L95" s="9">
        <v>263.33</v>
      </c>
      <c r="M95" s="11">
        <v>3458252</v>
      </c>
      <c r="N95" s="11">
        <v>2082940.3</v>
      </c>
      <c r="O95" s="11">
        <v>1375311.7</v>
      </c>
      <c r="P95" s="51">
        <f t="shared" si="3"/>
        <v>0.39768984446477584</v>
      </c>
    </row>
    <row r="96" spans="1:16" x14ac:dyDescent="0.25">
      <c r="A96" s="6" t="s">
        <v>19</v>
      </c>
      <c r="B96" s="6" t="s">
        <v>112</v>
      </c>
      <c r="C96" s="6" t="s">
        <v>52</v>
      </c>
      <c r="D96" s="6" t="s">
        <v>17</v>
      </c>
      <c r="E96" s="6" t="s">
        <v>23</v>
      </c>
      <c r="F96" s="7">
        <v>40582</v>
      </c>
      <c r="G96" s="8">
        <f t="shared" si="2"/>
        <v>2011</v>
      </c>
      <c r="H96" s="9">
        <v>963392674</v>
      </c>
      <c r="I96" s="7">
        <v>40623</v>
      </c>
      <c r="J96" s="10">
        <v>8156</v>
      </c>
      <c r="K96" s="9">
        <v>47.45</v>
      </c>
      <c r="L96" s="9">
        <v>31.79</v>
      </c>
      <c r="M96" s="11">
        <v>387002.2</v>
      </c>
      <c r="N96" s="11">
        <v>259279.24</v>
      </c>
      <c r="O96" s="11">
        <v>127722.96</v>
      </c>
      <c r="P96" s="51">
        <f t="shared" si="3"/>
        <v>0.33003161222339306</v>
      </c>
    </row>
    <row r="97" spans="1:16" x14ac:dyDescent="0.25">
      <c r="A97" s="6" t="s">
        <v>28</v>
      </c>
      <c r="B97" s="6" t="s">
        <v>63</v>
      </c>
      <c r="C97" s="6" t="s">
        <v>44</v>
      </c>
      <c r="D97" s="6" t="s">
        <v>22</v>
      </c>
      <c r="E97" s="6" t="s">
        <v>35</v>
      </c>
      <c r="F97" s="7">
        <v>40750</v>
      </c>
      <c r="G97" s="8">
        <f t="shared" si="2"/>
        <v>2011</v>
      </c>
      <c r="H97" s="9">
        <v>512878119</v>
      </c>
      <c r="I97" s="7">
        <v>40789</v>
      </c>
      <c r="J97" s="10">
        <v>888</v>
      </c>
      <c r="K97" s="9">
        <v>109.28</v>
      </c>
      <c r="L97" s="9">
        <v>35.840000000000003</v>
      </c>
      <c r="M97" s="11">
        <v>97040.639999999999</v>
      </c>
      <c r="N97" s="11">
        <v>31825.919999999998</v>
      </c>
      <c r="O97" s="11">
        <v>65214.720000000001</v>
      </c>
      <c r="P97" s="51">
        <f t="shared" si="3"/>
        <v>0.67203513909224011</v>
      </c>
    </row>
    <row r="98" spans="1:16" x14ac:dyDescent="0.25">
      <c r="A98" s="6" t="s">
        <v>41</v>
      </c>
      <c r="B98" s="6" t="s">
        <v>113</v>
      </c>
      <c r="C98" s="6" t="s">
        <v>30</v>
      </c>
      <c r="D98" s="6" t="s">
        <v>17</v>
      </c>
      <c r="E98" s="6" t="s">
        <v>27</v>
      </c>
      <c r="F98" s="7">
        <v>40858</v>
      </c>
      <c r="G98" s="8">
        <f t="shared" si="2"/>
        <v>2011</v>
      </c>
      <c r="H98" s="9">
        <v>810711038</v>
      </c>
      <c r="I98" s="7">
        <v>40905</v>
      </c>
      <c r="J98" s="10">
        <v>6267</v>
      </c>
      <c r="K98" s="9">
        <v>9.33</v>
      </c>
      <c r="L98" s="9">
        <v>6.92</v>
      </c>
      <c r="M98" s="11">
        <v>58471.11</v>
      </c>
      <c r="N98" s="11">
        <v>43367.64</v>
      </c>
      <c r="O98" s="11">
        <v>15103.47</v>
      </c>
      <c r="P98" s="51">
        <f t="shared" si="3"/>
        <v>0.25830653804930331</v>
      </c>
    </row>
    <row r="99" spans="1:16" x14ac:dyDescent="0.25">
      <c r="A99" s="6" t="s">
        <v>28</v>
      </c>
      <c r="B99" s="6" t="s">
        <v>84</v>
      </c>
      <c r="C99" s="6" t="s">
        <v>37</v>
      </c>
      <c r="D99" s="6" t="s">
        <v>17</v>
      </c>
      <c r="E99" s="6" t="s">
        <v>23</v>
      </c>
      <c r="F99" s="7">
        <v>42522</v>
      </c>
      <c r="G99" s="8">
        <f t="shared" si="2"/>
        <v>2016</v>
      </c>
      <c r="H99" s="9">
        <v>728815257</v>
      </c>
      <c r="I99" s="7">
        <v>42550</v>
      </c>
      <c r="J99" s="10">
        <v>1485</v>
      </c>
      <c r="K99" s="9">
        <v>154.06</v>
      </c>
      <c r="L99" s="9">
        <v>90.93</v>
      </c>
      <c r="M99" s="11">
        <v>228779.1</v>
      </c>
      <c r="N99" s="11">
        <v>135031.04999999999</v>
      </c>
      <c r="O99" s="11">
        <v>93748.05</v>
      </c>
      <c r="P99" s="51">
        <f t="shared" si="3"/>
        <v>0.40977541217707386</v>
      </c>
    </row>
    <row r="100" spans="1:16" x14ac:dyDescent="0.25">
      <c r="A100" s="6" t="s">
        <v>98</v>
      </c>
      <c r="B100" s="6" t="s">
        <v>99</v>
      </c>
      <c r="C100" s="6" t="s">
        <v>39</v>
      </c>
      <c r="D100" s="6" t="s">
        <v>17</v>
      </c>
      <c r="E100" s="6" t="s">
        <v>35</v>
      </c>
      <c r="F100" s="7">
        <v>42215</v>
      </c>
      <c r="G100" s="8">
        <f t="shared" si="2"/>
        <v>2015</v>
      </c>
      <c r="H100" s="9">
        <v>559427106</v>
      </c>
      <c r="I100" s="7">
        <v>42224</v>
      </c>
      <c r="J100" s="10">
        <v>5767</v>
      </c>
      <c r="K100" s="9">
        <v>81.73</v>
      </c>
      <c r="L100" s="9">
        <v>56.67</v>
      </c>
      <c r="M100" s="11">
        <v>471336.91</v>
      </c>
      <c r="N100" s="11">
        <v>326815.89</v>
      </c>
      <c r="O100" s="11">
        <v>144521.01999999999</v>
      </c>
      <c r="P100" s="51">
        <f t="shared" si="3"/>
        <v>0.30661935641747218</v>
      </c>
    </row>
    <row r="101" spans="1:16" x14ac:dyDescent="0.25">
      <c r="A101" s="6" t="s">
        <v>28</v>
      </c>
      <c r="B101" s="6" t="s">
        <v>114</v>
      </c>
      <c r="C101" s="6" t="s">
        <v>34</v>
      </c>
      <c r="D101" s="6" t="s">
        <v>17</v>
      </c>
      <c r="E101" s="6" t="s">
        <v>27</v>
      </c>
      <c r="F101" s="7">
        <v>40949</v>
      </c>
      <c r="G101" s="8">
        <f t="shared" si="2"/>
        <v>2012</v>
      </c>
      <c r="H101" s="9">
        <v>665095412</v>
      </c>
      <c r="I101" s="7">
        <v>40954</v>
      </c>
      <c r="J101" s="10">
        <v>5367</v>
      </c>
      <c r="K101" s="9">
        <v>668.27</v>
      </c>
      <c r="L101" s="9">
        <v>502.54</v>
      </c>
      <c r="M101" s="11">
        <v>3586605.09</v>
      </c>
      <c r="N101" s="11">
        <v>2697132.18</v>
      </c>
      <c r="O101" s="11">
        <v>889472.91</v>
      </c>
      <c r="P101" s="51">
        <f t="shared" si="3"/>
        <v>0.24799856345489102</v>
      </c>
    </row>
    <row r="102" spans="1:16" x14ac:dyDescent="0.25">
      <c r="J102" s="16">
        <f>SUM(J2:J101)</f>
        <v>512871</v>
      </c>
      <c r="L102" s="17">
        <f>SUM(L2:L101)</f>
        <v>19104.800000000007</v>
      </c>
      <c r="M102" s="17">
        <f t="shared" ref="M102:O102" si="4">SUM(M2:M101)</f>
        <v>137348768.30999997</v>
      </c>
      <c r="N102" s="17">
        <f t="shared" si="4"/>
        <v>93180569.909999982</v>
      </c>
      <c r="O102" s="17">
        <f t="shared" si="4"/>
        <v>44168198.399999991</v>
      </c>
      <c r="P102" s="51">
        <f t="shared" si="3"/>
        <v>0.32157695291676108</v>
      </c>
    </row>
  </sheetData>
  <autoFilter ref="A1:O102" xr:uid="{94D4A07C-5D79-4258-A4E1-8C7BD9F60BD2}"/>
  <pageMargins left="0.7" right="0.7" top="0.75" bottom="0.75" header="0.3" footer="0.3"/>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9FBB-F674-4B47-85EB-118492972D9A}">
  <dimension ref="A1"/>
  <sheetViews>
    <sheetView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N101"/>
  <sheetViews>
    <sheetView topLeftCell="B82" workbookViewId="0">
      <selection activeCell="D98" sqref="D98"/>
    </sheetView>
  </sheetViews>
  <sheetFormatPr defaultRowHeight="15" x14ac:dyDescent="0.25"/>
  <cols>
    <col min="1" max="1" width="15.140625" customWidth="1"/>
    <col min="2" max="2" width="31.5703125" bestFit="1" customWidth="1"/>
    <col min="3" max="3" width="14.5703125" customWidth="1"/>
    <col min="5" max="5" width="13.28515625" bestFit="1" customWidth="1"/>
    <col min="6" max="6" width="17.42578125" bestFit="1" customWidth="1"/>
    <col min="7" max="7" width="10" style="1" bestFit="1" customWidth="1"/>
    <col min="8" max="8" width="15" customWidth="1"/>
    <col min="9" max="9" width="15.5703125" customWidth="1"/>
    <col min="10" max="10" width="13" customWidth="1"/>
    <col min="11" max="11" width="12.85546875" customWidth="1"/>
    <col min="12" max="12" width="15.42578125" customWidth="1"/>
    <col min="13" max="13" width="10.7109375" customWidth="1"/>
    <col min="14" max="14" width="11.7109375" customWidth="1"/>
  </cols>
  <sheetData>
    <row r="1" spans="1:14" x14ac:dyDescent="0.25">
      <c r="A1" t="s">
        <v>0</v>
      </c>
      <c r="B1" t="s">
        <v>1</v>
      </c>
      <c r="C1" t="s">
        <v>2</v>
      </c>
      <c r="D1" t="s">
        <v>3</v>
      </c>
      <c r="E1" t="s">
        <v>4</v>
      </c>
      <c r="F1" t="s">
        <v>5</v>
      </c>
      <c r="G1" s="1" t="s">
        <v>6</v>
      </c>
      <c r="H1" t="s">
        <v>7</v>
      </c>
      <c r="I1" t="s">
        <v>8</v>
      </c>
      <c r="J1" t="s">
        <v>9</v>
      </c>
      <c r="K1" t="s">
        <v>10</v>
      </c>
      <c r="L1" t="s">
        <v>11</v>
      </c>
      <c r="M1" t="s">
        <v>12</v>
      </c>
      <c r="N1" t="s">
        <v>13</v>
      </c>
    </row>
    <row r="2" spans="1:14" x14ac:dyDescent="0.25">
      <c r="A2" t="s">
        <v>14</v>
      </c>
      <c r="B2" t="s">
        <v>15</v>
      </c>
      <c r="C2" t="s">
        <v>16</v>
      </c>
      <c r="D2" t="s">
        <v>17</v>
      </c>
      <c r="E2" t="s">
        <v>18</v>
      </c>
      <c r="F2">
        <v>40326</v>
      </c>
      <c r="G2" s="1">
        <v>669165933</v>
      </c>
      <c r="H2">
        <v>40356</v>
      </c>
      <c r="I2">
        <v>9925</v>
      </c>
      <c r="J2">
        <v>255.28</v>
      </c>
      <c r="K2">
        <v>159.41999999999999</v>
      </c>
      <c r="L2">
        <v>2533654</v>
      </c>
      <c r="M2">
        <v>1582243.5</v>
      </c>
      <c r="N2">
        <v>951410.5</v>
      </c>
    </row>
    <row r="3" spans="1:14" x14ac:dyDescent="0.25">
      <c r="A3" t="s">
        <v>19</v>
      </c>
      <c r="B3" t="s">
        <v>20</v>
      </c>
      <c r="C3" t="s">
        <v>21</v>
      </c>
      <c r="D3" t="s">
        <v>22</v>
      </c>
      <c r="E3" t="s">
        <v>23</v>
      </c>
      <c r="F3">
        <v>41143</v>
      </c>
      <c r="G3" s="1">
        <v>963881480</v>
      </c>
      <c r="H3">
        <v>41167</v>
      </c>
      <c r="I3">
        <v>2804</v>
      </c>
      <c r="J3">
        <v>205.7</v>
      </c>
      <c r="K3">
        <v>117.11</v>
      </c>
      <c r="L3">
        <v>576782.80000000005</v>
      </c>
      <c r="M3">
        <v>328376.44</v>
      </c>
      <c r="N3">
        <v>248406.36</v>
      </c>
    </row>
    <row r="4" spans="1:14" x14ac:dyDescent="0.25">
      <c r="A4" t="s">
        <v>24</v>
      </c>
      <c r="B4" t="s">
        <v>25</v>
      </c>
      <c r="C4" t="s">
        <v>26</v>
      </c>
      <c r="D4" t="s">
        <v>17</v>
      </c>
      <c r="E4" t="s">
        <v>27</v>
      </c>
      <c r="F4">
        <v>41761</v>
      </c>
      <c r="G4" s="1">
        <v>341417157</v>
      </c>
      <c r="H4">
        <v>41767</v>
      </c>
      <c r="I4">
        <v>1779</v>
      </c>
      <c r="J4">
        <v>651.21</v>
      </c>
      <c r="K4">
        <v>524.96</v>
      </c>
      <c r="L4">
        <v>1158502.5900000001</v>
      </c>
      <c r="M4">
        <v>933903.84</v>
      </c>
      <c r="N4">
        <v>224598.75</v>
      </c>
    </row>
    <row r="5" spans="1:14" x14ac:dyDescent="0.25">
      <c r="A5" t="s">
        <v>28</v>
      </c>
      <c r="B5" t="s">
        <v>29</v>
      </c>
      <c r="C5" t="s">
        <v>30</v>
      </c>
      <c r="D5" t="s">
        <v>22</v>
      </c>
      <c r="E5" t="s">
        <v>23</v>
      </c>
      <c r="F5">
        <v>41810</v>
      </c>
      <c r="G5" s="1">
        <v>514321792</v>
      </c>
      <c r="H5">
        <v>41825</v>
      </c>
      <c r="I5">
        <v>8102</v>
      </c>
      <c r="J5">
        <v>9.33</v>
      </c>
      <c r="K5">
        <v>6.92</v>
      </c>
      <c r="L5">
        <v>75591.66</v>
      </c>
      <c r="M5">
        <v>56065.84</v>
      </c>
      <c r="N5">
        <v>19525.82</v>
      </c>
    </row>
    <row r="6" spans="1:14" x14ac:dyDescent="0.25">
      <c r="A6" t="s">
        <v>28</v>
      </c>
      <c r="B6" t="s">
        <v>31</v>
      </c>
      <c r="C6" t="s">
        <v>26</v>
      </c>
      <c r="D6" t="s">
        <v>17</v>
      </c>
      <c r="E6" t="s">
        <v>27</v>
      </c>
      <c r="F6">
        <v>41306</v>
      </c>
      <c r="G6" s="1">
        <v>115456712</v>
      </c>
      <c r="H6">
        <v>41311</v>
      </c>
      <c r="I6">
        <v>5062</v>
      </c>
      <c r="J6">
        <v>651.21</v>
      </c>
      <c r="K6">
        <v>524.96</v>
      </c>
      <c r="L6">
        <v>3296425.02</v>
      </c>
      <c r="M6">
        <v>2657347.52</v>
      </c>
      <c r="N6">
        <v>639077.5</v>
      </c>
    </row>
    <row r="7" spans="1:14" x14ac:dyDescent="0.25">
      <c r="A7" t="s">
        <v>14</v>
      </c>
      <c r="B7" t="s">
        <v>32</v>
      </c>
      <c r="C7" t="s">
        <v>16</v>
      </c>
      <c r="D7" t="s">
        <v>22</v>
      </c>
      <c r="E7" t="s">
        <v>23</v>
      </c>
      <c r="F7">
        <v>42039</v>
      </c>
      <c r="G7" s="1">
        <v>547995746</v>
      </c>
      <c r="H7">
        <v>42056</v>
      </c>
      <c r="I7">
        <v>2974</v>
      </c>
      <c r="J7">
        <v>255.28</v>
      </c>
      <c r="K7">
        <v>159.41999999999999</v>
      </c>
      <c r="L7">
        <v>759202.72</v>
      </c>
      <c r="M7">
        <v>474115.08</v>
      </c>
      <c r="N7">
        <v>285087.64</v>
      </c>
    </row>
    <row r="8" spans="1:14" x14ac:dyDescent="0.25">
      <c r="A8" t="s">
        <v>28</v>
      </c>
      <c r="B8" t="s">
        <v>33</v>
      </c>
      <c r="C8" t="s">
        <v>34</v>
      </c>
      <c r="D8" t="s">
        <v>17</v>
      </c>
      <c r="E8" t="s">
        <v>35</v>
      </c>
      <c r="F8">
        <v>40656</v>
      </c>
      <c r="G8" s="1">
        <v>135425221</v>
      </c>
      <c r="H8">
        <v>40660</v>
      </c>
      <c r="I8">
        <v>4187</v>
      </c>
      <c r="J8">
        <v>668.27</v>
      </c>
      <c r="K8">
        <v>502.54</v>
      </c>
      <c r="L8">
        <v>2798046.49</v>
      </c>
      <c r="M8">
        <v>2104134.98</v>
      </c>
      <c r="N8">
        <v>693911.51</v>
      </c>
    </row>
    <row r="9" spans="1:14" x14ac:dyDescent="0.25">
      <c r="A9" t="s">
        <v>28</v>
      </c>
      <c r="B9" t="s">
        <v>36</v>
      </c>
      <c r="C9" t="s">
        <v>37</v>
      </c>
      <c r="D9" t="s">
        <v>22</v>
      </c>
      <c r="E9" t="s">
        <v>18</v>
      </c>
      <c r="F9">
        <v>41107</v>
      </c>
      <c r="G9" s="1">
        <v>871543967</v>
      </c>
      <c r="H9">
        <v>41117</v>
      </c>
      <c r="I9">
        <v>8082</v>
      </c>
      <c r="J9">
        <v>154.06</v>
      </c>
      <c r="K9">
        <v>90.93</v>
      </c>
      <c r="L9">
        <v>1245112.92</v>
      </c>
      <c r="M9">
        <v>734896.26</v>
      </c>
      <c r="N9">
        <v>510216.66</v>
      </c>
    </row>
    <row r="10" spans="1:14" x14ac:dyDescent="0.25">
      <c r="A10" t="s">
        <v>28</v>
      </c>
      <c r="B10" t="s">
        <v>38</v>
      </c>
      <c r="C10" t="s">
        <v>39</v>
      </c>
      <c r="D10" t="s">
        <v>17</v>
      </c>
      <c r="E10" t="s">
        <v>35</v>
      </c>
      <c r="F10">
        <v>42199</v>
      </c>
      <c r="G10" s="1">
        <v>770463311</v>
      </c>
      <c r="H10">
        <v>42241</v>
      </c>
      <c r="I10">
        <v>6070</v>
      </c>
      <c r="J10">
        <v>81.73</v>
      </c>
      <c r="K10">
        <v>56.67</v>
      </c>
      <c r="L10">
        <v>496101.1</v>
      </c>
      <c r="M10">
        <v>343986.9</v>
      </c>
      <c r="N10">
        <v>152114.20000000001</v>
      </c>
    </row>
    <row r="11" spans="1:14" x14ac:dyDescent="0.25">
      <c r="A11" t="s">
        <v>28</v>
      </c>
      <c r="B11" t="s">
        <v>40</v>
      </c>
      <c r="C11" t="s">
        <v>21</v>
      </c>
      <c r="D11" t="s">
        <v>22</v>
      </c>
      <c r="E11" t="s">
        <v>18</v>
      </c>
      <c r="F11">
        <v>41747</v>
      </c>
      <c r="G11" s="1">
        <v>616607081</v>
      </c>
      <c r="H11">
        <v>41789</v>
      </c>
      <c r="I11">
        <v>6593</v>
      </c>
      <c r="J11">
        <v>205.7</v>
      </c>
      <c r="K11">
        <v>117.11</v>
      </c>
      <c r="L11">
        <v>1356180.1</v>
      </c>
      <c r="M11">
        <v>772106.23</v>
      </c>
      <c r="N11">
        <v>584073.87</v>
      </c>
    </row>
    <row r="12" spans="1:14" x14ac:dyDescent="0.25">
      <c r="A12" t="s">
        <v>41</v>
      </c>
      <c r="B12" t="s">
        <v>42</v>
      </c>
      <c r="C12" t="s">
        <v>37</v>
      </c>
      <c r="D12" t="s">
        <v>22</v>
      </c>
      <c r="E12" t="s">
        <v>18</v>
      </c>
      <c r="F12">
        <v>40718</v>
      </c>
      <c r="G12" s="1">
        <v>814711606</v>
      </c>
      <c r="H12">
        <v>40736</v>
      </c>
      <c r="I12">
        <v>124</v>
      </c>
      <c r="J12">
        <v>154.06</v>
      </c>
      <c r="K12">
        <v>90.93</v>
      </c>
      <c r="L12">
        <v>19103.439999999999</v>
      </c>
      <c r="M12">
        <v>11275.32</v>
      </c>
      <c r="N12">
        <v>7828.12</v>
      </c>
    </row>
    <row r="13" spans="1:14" x14ac:dyDescent="0.25">
      <c r="A13" t="s">
        <v>28</v>
      </c>
      <c r="B13" t="s">
        <v>43</v>
      </c>
      <c r="C13" t="s">
        <v>44</v>
      </c>
      <c r="D13" t="s">
        <v>17</v>
      </c>
      <c r="E13" t="s">
        <v>18</v>
      </c>
      <c r="F13">
        <v>41853</v>
      </c>
      <c r="G13" s="1">
        <v>939825713</v>
      </c>
      <c r="H13">
        <v>41870</v>
      </c>
      <c r="I13">
        <v>4168</v>
      </c>
      <c r="J13">
        <v>109.28</v>
      </c>
      <c r="K13">
        <v>35.840000000000003</v>
      </c>
      <c r="L13">
        <v>455479.03999999998</v>
      </c>
      <c r="M13">
        <v>149381.12</v>
      </c>
      <c r="N13">
        <v>306097.91999999998</v>
      </c>
    </row>
    <row r="14" spans="1:14" x14ac:dyDescent="0.25">
      <c r="A14" t="s">
        <v>41</v>
      </c>
      <c r="B14" t="s">
        <v>45</v>
      </c>
      <c r="C14" t="s">
        <v>44</v>
      </c>
      <c r="D14" t="s">
        <v>22</v>
      </c>
      <c r="E14" t="s">
        <v>27</v>
      </c>
      <c r="F14">
        <v>42748</v>
      </c>
      <c r="G14" s="1">
        <v>187310731</v>
      </c>
      <c r="H14">
        <v>42795</v>
      </c>
      <c r="I14">
        <v>8263</v>
      </c>
      <c r="J14">
        <v>109.28</v>
      </c>
      <c r="K14">
        <v>35.840000000000003</v>
      </c>
      <c r="L14">
        <v>902980.64</v>
      </c>
      <c r="M14">
        <v>296145.91999999998</v>
      </c>
      <c r="N14">
        <v>606834.72</v>
      </c>
    </row>
    <row r="15" spans="1:14" x14ac:dyDescent="0.25">
      <c r="A15" t="s">
        <v>19</v>
      </c>
      <c r="B15" t="s">
        <v>46</v>
      </c>
      <c r="C15" t="s">
        <v>34</v>
      </c>
      <c r="D15" t="s">
        <v>17</v>
      </c>
      <c r="E15" t="s">
        <v>18</v>
      </c>
      <c r="F15">
        <v>42774</v>
      </c>
      <c r="G15" s="1">
        <v>522840487</v>
      </c>
      <c r="H15">
        <v>42779</v>
      </c>
      <c r="I15">
        <v>8974</v>
      </c>
      <c r="J15">
        <v>668.27</v>
      </c>
      <c r="K15">
        <v>502.54</v>
      </c>
      <c r="L15">
        <v>5997054.9800000004</v>
      </c>
      <c r="M15">
        <v>4509793.96</v>
      </c>
      <c r="N15">
        <v>1487261.02</v>
      </c>
    </row>
    <row r="16" spans="1:14" x14ac:dyDescent="0.25">
      <c r="A16" t="s">
        <v>41</v>
      </c>
      <c r="B16" t="s">
        <v>47</v>
      </c>
      <c r="C16" t="s">
        <v>39</v>
      </c>
      <c r="D16" t="s">
        <v>17</v>
      </c>
      <c r="E16" t="s">
        <v>23</v>
      </c>
      <c r="F16">
        <v>41689</v>
      </c>
      <c r="G16" s="1">
        <v>832401311</v>
      </c>
      <c r="H16">
        <v>41693</v>
      </c>
      <c r="I16">
        <v>4901</v>
      </c>
      <c r="J16">
        <v>81.73</v>
      </c>
      <c r="K16">
        <v>56.67</v>
      </c>
      <c r="L16">
        <v>400558.73</v>
      </c>
      <c r="M16">
        <v>277739.67</v>
      </c>
      <c r="N16">
        <v>122819.06</v>
      </c>
    </row>
    <row r="17" spans="1:14" x14ac:dyDescent="0.25">
      <c r="A17" t="s">
        <v>24</v>
      </c>
      <c r="B17" t="s">
        <v>48</v>
      </c>
      <c r="C17" t="s">
        <v>44</v>
      </c>
      <c r="D17" t="s">
        <v>22</v>
      </c>
      <c r="E17" t="s">
        <v>35</v>
      </c>
      <c r="F17">
        <v>41022</v>
      </c>
      <c r="G17" s="1">
        <v>972292029</v>
      </c>
      <c r="H17">
        <v>41063</v>
      </c>
      <c r="I17">
        <v>1673</v>
      </c>
      <c r="J17">
        <v>109.28</v>
      </c>
      <c r="K17">
        <v>35.840000000000003</v>
      </c>
      <c r="L17">
        <v>182825.44</v>
      </c>
      <c r="M17">
        <v>59960.32</v>
      </c>
      <c r="N17">
        <v>122865.12</v>
      </c>
    </row>
    <row r="18" spans="1:14" x14ac:dyDescent="0.25">
      <c r="A18" t="s">
        <v>41</v>
      </c>
      <c r="B18" t="s">
        <v>49</v>
      </c>
      <c r="C18" t="s">
        <v>50</v>
      </c>
      <c r="D18" t="s">
        <v>17</v>
      </c>
      <c r="E18" t="s">
        <v>35</v>
      </c>
      <c r="F18">
        <v>42693</v>
      </c>
      <c r="G18" s="1">
        <v>419123971</v>
      </c>
      <c r="H18">
        <v>42722</v>
      </c>
      <c r="I18">
        <v>6952</v>
      </c>
      <c r="J18">
        <v>437.2</v>
      </c>
      <c r="K18">
        <v>263.33</v>
      </c>
      <c r="L18">
        <v>3039414.4</v>
      </c>
      <c r="M18">
        <v>1830670.16</v>
      </c>
      <c r="N18">
        <v>1208744.24</v>
      </c>
    </row>
    <row r="19" spans="1:14" x14ac:dyDescent="0.25">
      <c r="A19" t="s">
        <v>28</v>
      </c>
      <c r="B19" t="s">
        <v>51</v>
      </c>
      <c r="C19" t="s">
        <v>52</v>
      </c>
      <c r="D19" t="s">
        <v>17</v>
      </c>
      <c r="E19" t="s">
        <v>23</v>
      </c>
      <c r="F19">
        <v>42095</v>
      </c>
      <c r="G19" s="1">
        <v>519820964</v>
      </c>
      <c r="H19">
        <v>42112</v>
      </c>
      <c r="I19">
        <v>5430</v>
      </c>
      <c r="J19">
        <v>47.45</v>
      </c>
      <c r="K19">
        <v>31.79</v>
      </c>
      <c r="L19">
        <v>257653.5</v>
      </c>
      <c r="M19">
        <v>172619.7</v>
      </c>
      <c r="N19">
        <v>85033.8</v>
      </c>
    </row>
    <row r="20" spans="1:14" x14ac:dyDescent="0.25">
      <c r="A20" t="s">
        <v>41</v>
      </c>
      <c r="B20" t="s">
        <v>53</v>
      </c>
      <c r="C20" t="s">
        <v>34</v>
      </c>
      <c r="D20" t="s">
        <v>17</v>
      </c>
      <c r="E20" t="s">
        <v>27</v>
      </c>
      <c r="F20">
        <v>40542</v>
      </c>
      <c r="G20" s="1">
        <v>441619336</v>
      </c>
      <c r="H20">
        <v>40563</v>
      </c>
      <c r="I20">
        <v>3830</v>
      </c>
      <c r="J20">
        <v>668.27</v>
      </c>
      <c r="K20">
        <v>502.54</v>
      </c>
      <c r="L20">
        <v>2559474.1</v>
      </c>
      <c r="M20">
        <v>1924728.2</v>
      </c>
      <c r="N20">
        <v>634745.9</v>
      </c>
    </row>
    <row r="21" spans="1:14" x14ac:dyDescent="0.25">
      <c r="A21" t="s">
        <v>14</v>
      </c>
      <c r="B21" t="s">
        <v>54</v>
      </c>
      <c r="C21" t="s">
        <v>55</v>
      </c>
      <c r="D21" t="s">
        <v>22</v>
      </c>
      <c r="E21" t="s">
        <v>27</v>
      </c>
      <c r="F21">
        <v>41121</v>
      </c>
      <c r="G21" s="1">
        <v>322067916</v>
      </c>
      <c r="H21">
        <v>41163</v>
      </c>
      <c r="I21">
        <v>5908</v>
      </c>
      <c r="J21">
        <v>421.89</v>
      </c>
      <c r="K21">
        <v>364.69</v>
      </c>
      <c r="L21">
        <v>2492526.12</v>
      </c>
      <c r="M21">
        <v>2154588.52</v>
      </c>
      <c r="N21">
        <v>337937.6</v>
      </c>
    </row>
    <row r="22" spans="1:14" x14ac:dyDescent="0.25">
      <c r="A22" t="s">
        <v>24</v>
      </c>
      <c r="B22" t="s">
        <v>56</v>
      </c>
      <c r="C22" t="s">
        <v>16</v>
      </c>
      <c r="D22" t="s">
        <v>22</v>
      </c>
      <c r="E22" t="s">
        <v>27</v>
      </c>
      <c r="F22">
        <v>41773</v>
      </c>
      <c r="G22" s="1">
        <v>819028031</v>
      </c>
      <c r="H22">
        <v>41818</v>
      </c>
      <c r="I22">
        <v>7450</v>
      </c>
      <c r="J22">
        <v>255.28</v>
      </c>
      <c r="K22">
        <v>159.41999999999999</v>
      </c>
      <c r="L22">
        <v>1901836</v>
      </c>
      <c r="M22">
        <v>1187679</v>
      </c>
      <c r="N22">
        <v>714157</v>
      </c>
    </row>
    <row r="23" spans="1:14" x14ac:dyDescent="0.25">
      <c r="A23" t="s">
        <v>24</v>
      </c>
      <c r="B23" t="s">
        <v>57</v>
      </c>
      <c r="C23" t="s">
        <v>16</v>
      </c>
      <c r="D23" t="s">
        <v>22</v>
      </c>
      <c r="E23" t="s">
        <v>18</v>
      </c>
      <c r="F23">
        <v>42216</v>
      </c>
      <c r="G23" s="1">
        <v>860673511</v>
      </c>
      <c r="H23">
        <v>42250</v>
      </c>
      <c r="I23">
        <v>1273</v>
      </c>
      <c r="J23">
        <v>255.28</v>
      </c>
      <c r="K23">
        <v>159.41999999999999</v>
      </c>
      <c r="L23">
        <v>324971.44</v>
      </c>
      <c r="M23">
        <v>202941.66</v>
      </c>
      <c r="N23">
        <v>122029.78</v>
      </c>
    </row>
    <row r="24" spans="1:14" x14ac:dyDescent="0.25">
      <c r="A24" t="s">
        <v>19</v>
      </c>
      <c r="B24" t="s">
        <v>46</v>
      </c>
      <c r="C24" t="s">
        <v>58</v>
      </c>
      <c r="D24" t="s">
        <v>22</v>
      </c>
      <c r="E24" t="s">
        <v>27</v>
      </c>
      <c r="F24">
        <v>42551</v>
      </c>
      <c r="G24" s="1">
        <v>795490682</v>
      </c>
      <c r="H24">
        <v>42577</v>
      </c>
      <c r="I24">
        <v>2225</v>
      </c>
      <c r="J24">
        <v>152.58000000000001</v>
      </c>
      <c r="K24">
        <v>97.44</v>
      </c>
      <c r="L24">
        <v>339490.5</v>
      </c>
      <c r="M24">
        <v>216804</v>
      </c>
      <c r="N24">
        <v>122686.5</v>
      </c>
    </row>
    <row r="25" spans="1:14" x14ac:dyDescent="0.25">
      <c r="A25" t="s">
        <v>14</v>
      </c>
      <c r="B25" t="s">
        <v>59</v>
      </c>
      <c r="C25" t="s">
        <v>30</v>
      </c>
      <c r="D25" t="s">
        <v>22</v>
      </c>
      <c r="E25" t="s">
        <v>18</v>
      </c>
      <c r="F25">
        <v>41890</v>
      </c>
      <c r="G25" s="1">
        <v>142278373</v>
      </c>
      <c r="H25">
        <v>41916</v>
      </c>
      <c r="I25">
        <v>2187</v>
      </c>
      <c r="J25">
        <v>9.33</v>
      </c>
      <c r="K25">
        <v>6.92</v>
      </c>
      <c r="L25">
        <v>20404.71</v>
      </c>
      <c r="M25">
        <v>15134.04</v>
      </c>
      <c r="N25">
        <v>5270.67</v>
      </c>
    </row>
    <row r="26" spans="1:14" x14ac:dyDescent="0.25">
      <c r="A26" t="s">
        <v>24</v>
      </c>
      <c r="B26" t="s">
        <v>60</v>
      </c>
      <c r="C26" t="s">
        <v>39</v>
      </c>
      <c r="D26" t="s">
        <v>22</v>
      </c>
      <c r="E26" t="s">
        <v>27</v>
      </c>
      <c r="F26">
        <v>42497</v>
      </c>
      <c r="G26" s="1">
        <v>740147912</v>
      </c>
      <c r="H26">
        <v>42500</v>
      </c>
      <c r="I26">
        <v>5070</v>
      </c>
      <c r="J26">
        <v>81.73</v>
      </c>
      <c r="K26">
        <v>56.67</v>
      </c>
      <c r="L26">
        <v>414371.1</v>
      </c>
      <c r="M26">
        <v>287316.90000000002</v>
      </c>
      <c r="N26">
        <v>127054.2</v>
      </c>
    </row>
    <row r="27" spans="1:14" x14ac:dyDescent="0.25">
      <c r="A27" t="s">
        <v>24</v>
      </c>
      <c r="B27" t="s">
        <v>61</v>
      </c>
      <c r="C27" t="s">
        <v>50</v>
      </c>
      <c r="D27" t="s">
        <v>22</v>
      </c>
      <c r="E27" t="s">
        <v>18</v>
      </c>
      <c r="F27">
        <v>42877</v>
      </c>
      <c r="G27" s="1">
        <v>898523128</v>
      </c>
      <c r="H27">
        <v>42891</v>
      </c>
      <c r="I27">
        <v>1815</v>
      </c>
      <c r="J27">
        <v>437.2</v>
      </c>
      <c r="K27">
        <v>263.33</v>
      </c>
      <c r="L27">
        <v>793518</v>
      </c>
      <c r="M27">
        <v>477943.95</v>
      </c>
      <c r="N27">
        <v>315574.05</v>
      </c>
    </row>
    <row r="28" spans="1:14" x14ac:dyDescent="0.25">
      <c r="A28" t="s">
        <v>14</v>
      </c>
      <c r="B28" t="s">
        <v>62</v>
      </c>
      <c r="C28" t="s">
        <v>30</v>
      </c>
      <c r="D28" t="s">
        <v>22</v>
      </c>
      <c r="E28" t="s">
        <v>35</v>
      </c>
      <c r="F28">
        <v>41925</v>
      </c>
      <c r="G28" s="1">
        <v>347140347</v>
      </c>
      <c r="H28">
        <v>41953</v>
      </c>
      <c r="I28">
        <v>5398</v>
      </c>
      <c r="J28">
        <v>9.33</v>
      </c>
      <c r="K28">
        <v>6.92</v>
      </c>
      <c r="L28">
        <v>50363.34</v>
      </c>
      <c r="M28">
        <v>37354.160000000003</v>
      </c>
      <c r="N28">
        <v>13009.18</v>
      </c>
    </row>
    <row r="29" spans="1:14" x14ac:dyDescent="0.25">
      <c r="A29" t="s">
        <v>28</v>
      </c>
      <c r="B29" t="s">
        <v>63</v>
      </c>
      <c r="C29" t="s">
        <v>30</v>
      </c>
      <c r="D29" t="s">
        <v>22</v>
      </c>
      <c r="E29" t="s">
        <v>27</v>
      </c>
      <c r="F29">
        <v>40305</v>
      </c>
      <c r="G29" s="1">
        <v>686048400</v>
      </c>
      <c r="H29">
        <v>40308</v>
      </c>
      <c r="I29">
        <v>5822</v>
      </c>
      <c r="J29">
        <v>9.33</v>
      </c>
      <c r="K29">
        <v>6.92</v>
      </c>
      <c r="L29">
        <v>54319.26</v>
      </c>
      <c r="M29">
        <v>40288.239999999998</v>
      </c>
      <c r="N29">
        <v>14031.02</v>
      </c>
    </row>
    <row r="30" spans="1:14" x14ac:dyDescent="0.25">
      <c r="A30" t="s">
        <v>24</v>
      </c>
      <c r="B30" t="s">
        <v>56</v>
      </c>
      <c r="C30" t="s">
        <v>52</v>
      </c>
      <c r="D30" t="s">
        <v>17</v>
      </c>
      <c r="E30" t="s">
        <v>23</v>
      </c>
      <c r="F30">
        <v>41838</v>
      </c>
      <c r="G30" s="1">
        <v>435608613</v>
      </c>
      <c r="H30">
        <v>41850</v>
      </c>
      <c r="I30">
        <v>5124</v>
      </c>
      <c r="J30">
        <v>47.45</v>
      </c>
      <c r="K30">
        <v>31.79</v>
      </c>
      <c r="L30">
        <v>243133.8</v>
      </c>
      <c r="M30">
        <v>162891.96</v>
      </c>
      <c r="N30">
        <v>80241.84</v>
      </c>
    </row>
    <row r="31" spans="1:14" x14ac:dyDescent="0.25">
      <c r="A31" t="s">
        <v>28</v>
      </c>
      <c r="B31" t="s">
        <v>64</v>
      </c>
      <c r="C31" t="s">
        <v>34</v>
      </c>
      <c r="D31" t="s">
        <v>17</v>
      </c>
      <c r="E31" t="s">
        <v>27</v>
      </c>
      <c r="F31">
        <v>41055</v>
      </c>
      <c r="G31" s="1">
        <v>886494815</v>
      </c>
      <c r="H31">
        <v>41069</v>
      </c>
      <c r="I31">
        <v>2370</v>
      </c>
      <c r="J31">
        <v>668.27</v>
      </c>
      <c r="K31">
        <v>502.54</v>
      </c>
      <c r="L31">
        <v>1583799.9</v>
      </c>
      <c r="M31">
        <v>1191019.8</v>
      </c>
      <c r="N31">
        <v>392780.1</v>
      </c>
    </row>
    <row r="32" spans="1:14" x14ac:dyDescent="0.25">
      <c r="A32" t="s">
        <v>24</v>
      </c>
      <c r="B32" t="s">
        <v>65</v>
      </c>
      <c r="C32" t="s">
        <v>50</v>
      </c>
      <c r="D32" t="s">
        <v>17</v>
      </c>
      <c r="E32" t="s">
        <v>35</v>
      </c>
      <c r="F32">
        <v>41169</v>
      </c>
      <c r="G32" s="1">
        <v>249693334</v>
      </c>
      <c r="H32">
        <v>41202</v>
      </c>
      <c r="I32">
        <v>8661</v>
      </c>
      <c r="J32">
        <v>437.2</v>
      </c>
      <c r="K32">
        <v>263.33</v>
      </c>
      <c r="L32">
        <v>3786589.2</v>
      </c>
      <c r="M32">
        <v>2280701.13</v>
      </c>
      <c r="N32">
        <v>1505888.07</v>
      </c>
    </row>
    <row r="33" spans="1:14" x14ac:dyDescent="0.25">
      <c r="A33" t="s">
        <v>28</v>
      </c>
      <c r="B33" t="s">
        <v>66</v>
      </c>
      <c r="C33" t="s">
        <v>39</v>
      </c>
      <c r="D33" t="s">
        <v>17</v>
      </c>
      <c r="E33" t="s">
        <v>23</v>
      </c>
      <c r="F33">
        <v>41637</v>
      </c>
      <c r="G33" s="1">
        <v>406502997</v>
      </c>
      <c r="H33">
        <v>41667</v>
      </c>
      <c r="I33">
        <v>2125</v>
      </c>
      <c r="J33">
        <v>81.73</v>
      </c>
      <c r="K33">
        <v>56.67</v>
      </c>
      <c r="L33">
        <v>173676.25</v>
      </c>
      <c r="M33">
        <v>120423.75</v>
      </c>
      <c r="N33">
        <v>53252.5</v>
      </c>
    </row>
    <row r="34" spans="1:14" x14ac:dyDescent="0.25">
      <c r="A34" t="s">
        <v>14</v>
      </c>
      <c r="B34" t="s">
        <v>67</v>
      </c>
      <c r="C34" t="s">
        <v>26</v>
      </c>
      <c r="D34" t="s">
        <v>22</v>
      </c>
      <c r="E34" t="s">
        <v>23</v>
      </c>
      <c r="F34">
        <v>42304</v>
      </c>
      <c r="G34" s="1">
        <v>158535134</v>
      </c>
      <c r="H34">
        <v>42333</v>
      </c>
      <c r="I34">
        <v>2924</v>
      </c>
      <c r="J34">
        <v>651.21</v>
      </c>
      <c r="K34">
        <v>524.96</v>
      </c>
      <c r="L34">
        <v>1904138.04</v>
      </c>
      <c r="M34">
        <v>1534983.04</v>
      </c>
      <c r="N34">
        <v>369155</v>
      </c>
    </row>
    <row r="35" spans="1:14" x14ac:dyDescent="0.25">
      <c r="A35" t="s">
        <v>41</v>
      </c>
      <c r="B35" t="s">
        <v>68</v>
      </c>
      <c r="C35" t="s">
        <v>34</v>
      </c>
      <c r="D35" t="s">
        <v>17</v>
      </c>
      <c r="E35" t="s">
        <v>18</v>
      </c>
      <c r="F35">
        <v>42020</v>
      </c>
      <c r="G35" s="1">
        <v>177713572</v>
      </c>
      <c r="H35">
        <v>42064</v>
      </c>
      <c r="I35">
        <v>8250</v>
      </c>
      <c r="J35">
        <v>668.27</v>
      </c>
      <c r="K35">
        <v>502.54</v>
      </c>
      <c r="L35">
        <v>5513227.5</v>
      </c>
      <c r="M35">
        <v>4145955</v>
      </c>
      <c r="N35">
        <v>1367272.5</v>
      </c>
    </row>
    <row r="36" spans="1:14" x14ac:dyDescent="0.25">
      <c r="A36" t="s">
        <v>28</v>
      </c>
      <c r="B36" t="s">
        <v>69</v>
      </c>
      <c r="C36" t="s">
        <v>58</v>
      </c>
      <c r="D36" t="s">
        <v>22</v>
      </c>
      <c r="E36" t="s">
        <v>35</v>
      </c>
      <c r="F36">
        <v>42791</v>
      </c>
      <c r="G36" s="1">
        <v>756274640</v>
      </c>
      <c r="H36">
        <v>42791</v>
      </c>
      <c r="I36">
        <v>7327</v>
      </c>
      <c r="J36">
        <v>152.58000000000001</v>
      </c>
      <c r="K36">
        <v>97.44</v>
      </c>
      <c r="L36">
        <v>1117953.6599999999</v>
      </c>
      <c r="M36">
        <v>713942.88</v>
      </c>
      <c r="N36">
        <v>404010.78</v>
      </c>
    </row>
    <row r="37" spans="1:14" x14ac:dyDescent="0.25">
      <c r="A37" t="s">
        <v>19</v>
      </c>
      <c r="B37" t="s">
        <v>70</v>
      </c>
      <c r="C37" t="s">
        <v>39</v>
      </c>
      <c r="D37" t="s">
        <v>17</v>
      </c>
      <c r="E37" t="s">
        <v>27</v>
      </c>
      <c r="F37">
        <v>42863</v>
      </c>
      <c r="G37" s="1">
        <v>456767165</v>
      </c>
      <c r="H37">
        <v>42876</v>
      </c>
      <c r="I37">
        <v>6409</v>
      </c>
      <c r="J37">
        <v>81.73</v>
      </c>
      <c r="K37">
        <v>56.67</v>
      </c>
      <c r="L37">
        <v>523807.57</v>
      </c>
      <c r="M37">
        <v>363198.03</v>
      </c>
      <c r="N37">
        <v>160609.54</v>
      </c>
    </row>
    <row r="38" spans="1:14" x14ac:dyDescent="0.25">
      <c r="A38" t="s">
        <v>71</v>
      </c>
      <c r="B38" t="s">
        <v>72</v>
      </c>
      <c r="C38" t="s">
        <v>30</v>
      </c>
      <c r="D38" t="s">
        <v>22</v>
      </c>
      <c r="E38" t="s">
        <v>27</v>
      </c>
      <c r="F38">
        <v>40869</v>
      </c>
      <c r="G38" s="1">
        <v>162052476</v>
      </c>
      <c r="H38">
        <v>40880</v>
      </c>
      <c r="I38">
        <v>3784</v>
      </c>
      <c r="J38">
        <v>9.33</v>
      </c>
      <c r="K38">
        <v>6.92</v>
      </c>
      <c r="L38">
        <v>35304.720000000001</v>
      </c>
      <c r="M38">
        <v>26185.279999999999</v>
      </c>
      <c r="N38">
        <v>9119.44</v>
      </c>
    </row>
    <row r="39" spans="1:14" x14ac:dyDescent="0.25">
      <c r="A39" t="s">
        <v>28</v>
      </c>
      <c r="B39" t="s">
        <v>64</v>
      </c>
      <c r="C39" t="s">
        <v>55</v>
      </c>
      <c r="D39" t="s">
        <v>22</v>
      </c>
      <c r="E39" t="s">
        <v>35</v>
      </c>
      <c r="F39">
        <v>42749</v>
      </c>
      <c r="G39" s="1">
        <v>825304400</v>
      </c>
      <c r="H39">
        <v>42758</v>
      </c>
      <c r="I39">
        <v>4767</v>
      </c>
      <c r="J39">
        <v>421.89</v>
      </c>
      <c r="K39">
        <v>364.69</v>
      </c>
      <c r="L39">
        <v>2011149.63</v>
      </c>
      <c r="M39">
        <v>1738477.23</v>
      </c>
      <c r="N39">
        <v>272672.40000000002</v>
      </c>
    </row>
    <row r="40" spans="1:14" x14ac:dyDescent="0.25">
      <c r="A40" t="s">
        <v>41</v>
      </c>
      <c r="B40" t="s">
        <v>73</v>
      </c>
      <c r="C40" t="s">
        <v>26</v>
      </c>
      <c r="D40" t="s">
        <v>22</v>
      </c>
      <c r="E40" t="s">
        <v>27</v>
      </c>
      <c r="F40">
        <v>41000</v>
      </c>
      <c r="G40" s="1">
        <v>320009267</v>
      </c>
      <c r="H40">
        <v>41037</v>
      </c>
      <c r="I40">
        <v>6708</v>
      </c>
      <c r="J40">
        <v>651.21</v>
      </c>
      <c r="K40">
        <v>524.96</v>
      </c>
      <c r="L40">
        <v>4368316.68</v>
      </c>
      <c r="M40">
        <v>3521431.68</v>
      </c>
      <c r="N40">
        <v>846885</v>
      </c>
    </row>
    <row r="41" spans="1:14" x14ac:dyDescent="0.25">
      <c r="A41" t="s">
        <v>24</v>
      </c>
      <c r="B41" t="s">
        <v>48</v>
      </c>
      <c r="C41" t="s">
        <v>26</v>
      </c>
      <c r="D41" t="s">
        <v>22</v>
      </c>
      <c r="E41" t="s">
        <v>35</v>
      </c>
      <c r="F41">
        <v>40955</v>
      </c>
      <c r="G41" s="1">
        <v>189965903</v>
      </c>
      <c r="H41">
        <v>40967</v>
      </c>
      <c r="I41">
        <v>3987</v>
      </c>
      <c r="J41">
        <v>651.21</v>
      </c>
      <c r="K41">
        <v>524.96</v>
      </c>
      <c r="L41">
        <v>2596374.27</v>
      </c>
      <c r="M41">
        <v>2093015.52</v>
      </c>
      <c r="N41">
        <v>503358.75</v>
      </c>
    </row>
    <row r="42" spans="1:14" x14ac:dyDescent="0.25">
      <c r="A42" t="s">
        <v>28</v>
      </c>
      <c r="B42" t="s">
        <v>74</v>
      </c>
      <c r="C42" t="s">
        <v>39</v>
      </c>
      <c r="D42" t="s">
        <v>22</v>
      </c>
      <c r="E42" t="s">
        <v>18</v>
      </c>
      <c r="F42">
        <v>42805</v>
      </c>
      <c r="G42" s="1">
        <v>699285638</v>
      </c>
      <c r="H42">
        <v>42822</v>
      </c>
      <c r="I42">
        <v>3015</v>
      </c>
      <c r="J42">
        <v>81.73</v>
      </c>
      <c r="K42">
        <v>56.67</v>
      </c>
      <c r="L42">
        <v>246415.95</v>
      </c>
      <c r="M42">
        <v>170860.05</v>
      </c>
      <c r="N42">
        <v>75555.899999999994</v>
      </c>
    </row>
    <row r="43" spans="1:14" x14ac:dyDescent="0.25">
      <c r="A43" t="s">
        <v>71</v>
      </c>
      <c r="B43" t="s">
        <v>75</v>
      </c>
      <c r="C43" t="s">
        <v>50</v>
      </c>
      <c r="D43" t="s">
        <v>22</v>
      </c>
      <c r="E43" t="s">
        <v>35</v>
      </c>
      <c r="F43">
        <v>40215</v>
      </c>
      <c r="G43" s="1">
        <v>382392299</v>
      </c>
      <c r="H43">
        <v>40234</v>
      </c>
      <c r="I43">
        <v>7234</v>
      </c>
      <c r="J43">
        <v>437.2</v>
      </c>
      <c r="K43">
        <v>263.33</v>
      </c>
      <c r="L43">
        <v>3162704.8</v>
      </c>
      <c r="M43">
        <v>1904929.22</v>
      </c>
      <c r="N43">
        <v>1257775.58</v>
      </c>
    </row>
    <row r="44" spans="1:14" x14ac:dyDescent="0.25">
      <c r="A44" t="s">
        <v>28</v>
      </c>
      <c r="B44" t="s">
        <v>64</v>
      </c>
      <c r="C44" t="s">
        <v>21</v>
      </c>
      <c r="D44" t="s">
        <v>17</v>
      </c>
      <c r="E44" t="s">
        <v>18</v>
      </c>
      <c r="F44">
        <v>41067</v>
      </c>
      <c r="G44" s="1">
        <v>994022214</v>
      </c>
      <c r="H44">
        <v>41068</v>
      </c>
      <c r="I44">
        <v>2117</v>
      </c>
      <c r="J44">
        <v>205.7</v>
      </c>
      <c r="K44">
        <v>117.11</v>
      </c>
      <c r="L44">
        <v>435466.9</v>
      </c>
      <c r="M44">
        <v>247921.87</v>
      </c>
      <c r="N44">
        <v>187545.03</v>
      </c>
    </row>
    <row r="45" spans="1:14" x14ac:dyDescent="0.25">
      <c r="A45" t="s">
        <v>24</v>
      </c>
      <c r="B45" t="s">
        <v>76</v>
      </c>
      <c r="C45" t="s">
        <v>37</v>
      </c>
      <c r="D45" t="s">
        <v>22</v>
      </c>
      <c r="E45" t="s">
        <v>18</v>
      </c>
      <c r="F45">
        <v>41188</v>
      </c>
      <c r="G45" s="1">
        <v>759224212</v>
      </c>
      <c r="H45">
        <v>41223</v>
      </c>
      <c r="I45">
        <v>171</v>
      </c>
      <c r="J45">
        <v>154.06</v>
      </c>
      <c r="K45">
        <v>90.93</v>
      </c>
      <c r="L45">
        <v>26344.26</v>
      </c>
      <c r="M45">
        <v>15549.03</v>
      </c>
      <c r="N45">
        <v>10795.23</v>
      </c>
    </row>
    <row r="46" spans="1:14" x14ac:dyDescent="0.25">
      <c r="A46" t="s">
        <v>41</v>
      </c>
      <c r="B46" t="s">
        <v>68</v>
      </c>
      <c r="C46" t="s">
        <v>44</v>
      </c>
      <c r="D46" t="s">
        <v>22</v>
      </c>
      <c r="E46" t="s">
        <v>18</v>
      </c>
      <c r="F46">
        <v>42322</v>
      </c>
      <c r="G46" s="1">
        <v>223359620</v>
      </c>
      <c r="H46">
        <v>42326</v>
      </c>
      <c r="I46">
        <v>5930</v>
      </c>
      <c r="J46">
        <v>109.28</v>
      </c>
      <c r="K46">
        <v>35.840000000000003</v>
      </c>
      <c r="L46">
        <v>648030.4</v>
      </c>
      <c r="M46">
        <v>212531.20000000001</v>
      </c>
      <c r="N46">
        <v>435499.2</v>
      </c>
    </row>
    <row r="47" spans="1:14" x14ac:dyDescent="0.25">
      <c r="A47" t="s">
        <v>28</v>
      </c>
      <c r="B47" t="s">
        <v>77</v>
      </c>
      <c r="C47" t="s">
        <v>21</v>
      </c>
      <c r="D47" t="s">
        <v>17</v>
      </c>
      <c r="E47" t="s">
        <v>18</v>
      </c>
      <c r="F47">
        <v>42458</v>
      </c>
      <c r="G47" s="1">
        <v>902102267</v>
      </c>
      <c r="H47">
        <v>42489</v>
      </c>
      <c r="I47">
        <v>962</v>
      </c>
      <c r="J47">
        <v>205.7</v>
      </c>
      <c r="K47">
        <v>117.11</v>
      </c>
      <c r="L47">
        <v>197883.4</v>
      </c>
      <c r="M47">
        <v>112659.82</v>
      </c>
      <c r="N47">
        <v>85223.58</v>
      </c>
    </row>
    <row r="48" spans="1:14" x14ac:dyDescent="0.25">
      <c r="A48" t="s">
        <v>24</v>
      </c>
      <c r="B48" t="s">
        <v>78</v>
      </c>
      <c r="C48" t="s">
        <v>50</v>
      </c>
      <c r="D48" t="s">
        <v>22</v>
      </c>
      <c r="E48" t="s">
        <v>23</v>
      </c>
      <c r="F48">
        <v>42735</v>
      </c>
      <c r="G48" s="1">
        <v>331438481</v>
      </c>
      <c r="H48">
        <v>42735</v>
      </c>
      <c r="I48">
        <v>8867</v>
      </c>
      <c r="J48">
        <v>437.2</v>
      </c>
      <c r="K48">
        <v>263.33</v>
      </c>
      <c r="L48">
        <v>3876652.4</v>
      </c>
      <c r="M48">
        <v>2334947.11</v>
      </c>
      <c r="N48">
        <v>1541705.29</v>
      </c>
    </row>
    <row r="49" spans="1:14" x14ac:dyDescent="0.25">
      <c r="A49" t="s">
        <v>24</v>
      </c>
      <c r="B49" t="s">
        <v>65</v>
      </c>
      <c r="C49" t="s">
        <v>39</v>
      </c>
      <c r="D49" t="s">
        <v>22</v>
      </c>
      <c r="E49" t="s">
        <v>35</v>
      </c>
      <c r="F49">
        <v>40535</v>
      </c>
      <c r="G49" s="1">
        <v>617667090</v>
      </c>
      <c r="H49">
        <v>40574</v>
      </c>
      <c r="I49">
        <v>273</v>
      </c>
      <c r="J49">
        <v>81.73</v>
      </c>
      <c r="K49">
        <v>56.67</v>
      </c>
      <c r="L49">
        <v>22312.29</v>
      </c>
      <c r="M49">
        <v>15470.91</v>
      </c>
      <c r="N49">
        <v>6841.38</v>
      </c>
    </row>
    <row r="50" spans="1:14" x14ac:dyDescent="0.25">
      <c r="A50" t="s">
        <v>24</v>
      </c>
      <c r="B50" t="s">
        <v>79</v>
      </c>
      <c r="C50" t="s">
        <v>44</v>
      </c>
      <c r="D50" t="s">
        <v>17</v>
      </c>
      <c r="E50" t="s">
        <v>23</v>
      </c>
      <c r="F50">
        <v>41926</v>
      </c>
      <c r="G50" s="1">
        <v>787399423</v>
      </c>
      <c r="H50">
        <v>41957</v>
      </c>
      <c r="I50">
        <v>7842</v>
      </c>
      <c r="J50">
        <v>109.28</v>
      </c>
      <c r="K50">
        <v>35.840000000000003</v>
      </c>
      <c r="L50">
        <v>856973.76</v>
      </c>
      <c r="M50">
        <v>281057.28000000003</v>
      </c>
      <c r="N50">
        <v>575916.48</v>
      </c>
    </row>
    <row r="51" spans="1:14" x14ac:dyDescent="0.25">
      <c r="A51" t="s">
        <v>28</v>
      </c>
      <c r="B51" t="s">
        <v>80</v>
      </c>
      <c r="C51" t="s">
        <v>26</v>
      </c>
      <c r="D51" t="s">
        <v>17</v>
      </c>
      <c r="E51" t="s">
        <v>23</v>
      </c>
      <c r="F51">
        <v>40919</v>
      </c>
      <c r="G51" s="1">
        <v>837559306</v>
      </c>
      <c r="H51">
        <v>40921</v>
      </c>
      <c r="I51">
        <v>1266</v>
      </c>
      <c r="J51">
        <v>651.21</v>
      </c>
      <c r="K51">
        <v>524.96</v>
      </c>
      <c r="L51">
        <v>824431.86</v>
      </c>
      <c r="M51">
        <v>664599.36</v>
      </c>
      <c r="N51">
        <v>159832.5</v>
      </c>
    </row>
    <row r="52" spans="1:14" x14ac:dyDescent="0.25">
      <c r="A52" t="s">
        <v>24</v>
      </c>
      <c r="B52" t="s">
        <v>81</v>
      </c>
      <c r="C52" t="s">
        <v>44</v>
      </c>
      <c r="D52" t="s">
        <v>22</v>
      </c>
      <c r="E52" t="s">
        <v>23</v>
      </c>
      <c r="F52">
        <v>40211</v>
      </c>
      <c r="G52" s="1">
        <v>385383069</v>
      </c>
      <c r="H52">
        <v>40255</v>
      </c>
      <c r="I52">
        <v>2269</v>
      </c>
      <c r="J52">
        <v>109.28</v>
      </c>
      <c r="K52">
        <v>35.840000000000003</v>
      </c>
      <c r="L52">
        <v>247956.32</v>
      </c>
      <c r="M52">
        <v>81320.960000000006</v>
      </c>
      <c r="N52">
        <v>166635.35999999999</v>
      </c>
    </row>
    <row r="53" spans="1:14" x14ac:dyDescent="0.25">
      <c r="A53" t="s">
        <v>28</v>
      </c>
      <c r="B53" t="s">
        <v>82</v>
      </c>
      <c r="C53" t="s">
        <v>30</v>
      </c>
      <c r="D53" t="s">
        <v>22</v>
      </c>
      <c r="E53" t="s">
        <v>27</v>
      </c>
      <c r="F53">
        <v>41504</v>
      </c>
      <c r="G53" s="1">
        <v>918419539</v>
      </c>
      <c r="H53">
        <v>41535</v>
      </c>
      <c r="I53">
        <v>9606</v>
      </c>
      <c r="J53">
        <v>9.33</v>
      </c>
      <c r="K53">
        <v>6.92</v>
      </c>
      <c r="L53">
        <v>89623.98</v>
      </c>
      <c r="M53">
        <v>66473.52</v>
      </c>
      <c r="N53">
        <v>23150.46</v>
      </c>
    </row>
    <row r="54" spans="1:14" x14ac:dyDescent="0.25">
      <c r="A54" t="s">
        <v>71</v>
      </c>
      <c r="B54" t="s">
        <v>83</v>
      </c>
      <c r="C54" t="s">
        <v>21</v>
      </c>
      <c r="D54" t="s">
        <v>22</v>
      </c>
      <c r="E54" t="s">
        <v>35</v>
      </c>
      <c r="F54">
        <v>41358</v>
      </c>
      <c r="G54" s="1">
        <v>844530045</v>
      </c>
      <c r="H54">
        <v>41361</v>
      </c>
      <c r="I54">
        <v>4063</v>
      </c>
      <c r="J54">
        <v>205.7</v>
      </c>
      <c r="K54">
        <v>117.11</v>
      </c>
      <c r="L54">
        <v>835759.1</v>
      </c>
      <c r="M54">
        <v>475817.93</v>
      </c>
      <c r="N54">
        <v>359941.17</v>
      </c>
    </row>
    <row r="55" spans="1:14" x14ac:dyDescent="0.25">
      <c r="A55" t="s">
        <v>28</v>
      </c>
      <c r="B55" t="s">
        <v>84</v>
      </c>
      <c r="C55" t="s">
        <v>26</v>
      </c>
      <c r="D55" t="s">
        <v>17</v>
      </c>
      <c r="E55" t="s">
        <v>35</v>
      </c>
      <c r="F55">
        <v>40873</v>
      </c>
      <c r="G55" s="1">
        <v>441888415</v>
      </c>
      <c r="H55">
        <v>40915</v>
      </c>
      <c r="I55">
        <v>3457</v>
      </c>
      <c r="J55">
        <v>651.21</v>
      </c>
      <c r="K55">
        <v>524.96</v>
      </c>
      <c r="L55">
        <v>2251232.9700000002</v>
      </c>
      <c r="M55">
        <v>1814786.72</v>
      </c>
      <c r="N55">
        <v>436446.25</v>
      </c>
    </row>
    <row r="56" spans="1:14" x14ac:dyDescent="0.25">
      <c r="A56" t="s">
        <v>28</v>
      </c>
      <c r="B56" t="s">
        <v>29</v>
      </c>
      <c r="C56" t="s">
        <v>30</v>
      </c>
      <c r="D56" t="s">
        <v>17</v>
      </c>
      <c r="E56" t="s">
        <v>18</v>
      </c>
      <c r="F56">
        <v>41534</v>
      </c>
      <c r="G56" s="1">
        <v>508980977</v>
      </c>
      <c r="H56">
        <v>41571</v>
      </c>
      <c r="I56">
        <v>7637</v>
      </c>
      <c r="J56">
        <v>9.33</v>
      </c>
      <c r="K56">
        <v>6.92</v>
      </c>
      <c r="L56">
        <v>71253.210000000006</v>
      </c>
      <c r="M56">
        <v>52848.04</v>
      </c>
      <c r="N56">
        <v>18405.169999999998</v>
      </c>
    </row>
    <row r="57" spans="1:14" x14ac:dyDescent="0.25">
      <c r="A57" t="s">
        <v>28</v>
      </c>
      <c r="B57" t="s">
        <v>85</v>
      </c>
      <c r="C57" t="s">
        <v>44</v>
      </c>
      <c r="D57" t="s">
        <v>22</v>
      </c>
      <c r="E57" t="s">
        <v>23</v>
      </c>
      <c r="F57">
        <v>41068</v>
      </c>
      <c r="G57" s="1">
        <v>114606559</v>
      </c>
      <c r="H57">
        <v>41087</v>
      </c>
      <c r="I57">
        <v>3482</v>
      </c>
      <c r="J57">
        <v>109.28</v>
      </c>
      <c r="K57">
        <v>35.840000000000003</v>
      </c>
      <c r="L57">
        <v>380512.96</v>
      </c>
      <c r="M57">
        <v>124794.88</v>
      </c>
      <c r="N57">
        <v>255718.08</v>
      </c>
    </row>
    <row r="58" spans="1:14" x14ac:dyDescent="0.25">
      <c r="A58" t="s">
        <v>14</v>
      </c>
      <c r="B58" t="s">
        <v>86</v>
      </c>
      <c r="C58" t="s">
        <v>44</v>
      </c>
      <c r="D58" t="s">
        <v>17</v>
      </c>
      <c r="E58" t="s">
        <v>23</v>
      </c>
      <c r="F58">
        <v>40359</v>
      </c>
      <c r="G58" s="1">
        <v>647876489</v>
      </c>
      <c r="H58">
        <v>40391</v>
      </c>
      <c r="I58">
        <v>9905</v>
      </c>
      <c r="J58">
        <v>109.28</v>
      </c>
      <c r="K58">
        <v>35.840000000000003</v>
      </c>
      <c r="L58">
        <v>1082418.3999999999</v>
      </c>
      <c r="M58">
        <v>354995.20000000001</v>
      </c>
      <c r="N58">
        <v>727423.2</v>
      </c>
    </row>
    <row r="59" spans="1:14" x14ac:dyDescent="0.25">
      <c r="A59" t="s">
        <v>24</v>
      </c>
      <c r="B59" t="s">
        <v>87</v>
      </c>
      <c r="C59" t="s">
        <v>50</v>
      </c>
      <c r="D59" t="s">
        <v>17</v>
      </c>
      <c r="E59" t="s">
        <v>18</v>
      </c>
      <c r="F59">
        <v>42058</v>
      </c>
      <c r="G59" s="1">
        <v>868214595</v>
      </c>
      <c r="H59">
        <v>42065</v>
      </c>
      <c r="I59">
        <v>2847</v>
      </c>
      <c r="J59">
        <v>437.2</v>
      </c>
      <c r="K59">
        <v>263.33</v>
      </c>
      <c r="L59">
        <v>1244708.3999999999</v>
      </c>
      <c r="M59">
        <v>749700.51</v>
      </c>
      <c r="N59">
        <v>495007.89</v>
      </c>
    </row>
    <row r="60" spans="1:14" x14ac:dyDescent="0.25">
      <c r="A60" t="s">
        <v>24</v>
      </c>
      <c r="B60" t="s">
        <v>88</v>
      </c>
      <c r="C60" t="s">
        <v>34</v>
      </c>
      <c r="D60" t="s">
        <v>22</v>
      </c>
      <c r="E60" t="s">
        <v>27</v>
      </c>
      <c r="F60">
        <v>40913</v>
      </c>
      <c r="G60" s="1">
        <v>955357205</v>
      </c>
      <c r="H60">
        <v>40953</v>
      </c>
      <c r="I60">
        <v>282</v>
      </c>
      <c r="J60">
        <v>668.27</v>
      </c>
      <c r="K60">
        <v>502.54</v>
      </c>
      <c r="L60">
        <v>188452.14</v>
      </c>
      <c r="M60">
        <v>141716.28</v>
      </c>
      <c r="N60">
        <v>46735.86</v>
      </c>
    </row>
    <row r="61" spans="1:14" x14ac:dyDescent="0.25">
      <c r="A61" t="s">
        <v>28</v>
      </c>
      <c r="B61" t="s">
        <v>69</v>
      </c>
      <c r="C61" t="s">
        <v>50</v>
      </c>
      <c r="D61" t="s">
        <v>17</v>
      </c>
      <c r="E61" t="s">
        <v>18</v>
      </c>
      <c r="F61">
        <v>41736</v>
      </c>
      <c r="G61" s="1">
        <v>259353148</v>
      </c>
      <c r="H61">
        <v>41748</v>
      </c>
      <c r="I61">
        <v>7215</v>
      </c>
      <c r="J61">
        <v>437.2</v>
      </c>
      <c r="K61">
        <v>263.33</v>
      </c>
      <c r="L61">
        <v>3154398</v>
      </c>
      <c r="M61">
        <v>1899925.95</v>
      </c>
      <c r="N61">
        <v>1254472.05</v>
      </c>
    </row>
    <row r="62" spans="1:14" x14ac:dyDescent="0.25">
      <c r="A62" t="s">
        <v>14</v>
      </c>
      <c r="B62" t="s">
        <v>67</v>
      </c>
      <c r="C62" t="s">
        <v>21</v>
      </c>
      <c r="D62" t="s">
        <v>17</v>
      </c>
      <c r="E62" t="s">
        <v>18</v>
      </c>
      <c r="F62">
        <v>41434</v>
      </c>
      <c r="G62" s="1">
        <v>450563752</v>
      </c>
      <c r="H62">
        <v>41457</v>
      </c>
      <c r="I62">
        <v>682</v>
      </c>
      <c r="J62">
        <v>205.7</v>
      </c>
      <c r="K62">
        <v>117.11</v>
      </c>
      <c r="L62">
        <v>140287.4</v>
      </c>
      <c r="M62">
        <v>79869.02</v>
      </c>
      <c r="N62">
        <v>60418.38</v>
      </c>
    </row>
    <row r="63" spans="1:14" x14ac:dyDescent="0.25">
      <c r="A63" t="s">
        <v>24</v>
      </c>
      <c r="B63" t="s">
        <v>89</v>
      </c>
      <c r="C63" t="s">
        <v>16</v>
      </c>
      <c r="D63" t="s">
        <v>22</v>
      </c>
      <c r="E63" t="s">
        <v>27</v>
      </c>
      <c r="F63">
        <v>41451</v>
      </c>
      <c r="G63" s="1">
        <v>569662845</v>
      </c>
      <c r="H63">
        <v>41456</v>
      </c>
      <c r="I63">
        <v>4750</v>
      </c>
      <c r="J63">
        <v>255.28</v>
      </c>
      <c r="K63">
        <v>159.41999999999999</v>
      </c>
      <c r="L63">
        <v>1212580</v>
      </c>
      <c r="M63">
        <v>757245</v>
      </c>
      <c r="N63">
        <v>455335</v>
      </c>
    </row>
    <row r="64" spans="1:14" x14ac:dyDescent="0.25">
      <c r="A64" t="s">
        <v>28</v>
      </c>
      <c r="B64" t="s">
        <v>51</v>
      </c>
      <c r="C64" t="s">
        <v>26</v>
      </c>
      <c r="D64" t="s">
        <v>22</v>
      </c>
      <c r="E64" t="s">
        <v>35</v>
      </c>
      <c r="F64">
        <v>40854</v>
      </c>
      <c r="G64" s="1">
        <v>177636754</v>
      </c>
      <c r="H64">
        <v>40862</v>
      </c>
      <c r="I64">
        <v>5518</v>
      </c>
      <c r="J64">
        <v>651.21</v>
      </c>
      <c r="K64">
        <v>524.96</v>
      </c>
      <c r="L64">
        <v>3593376.78</v>
      </c>
      <c r="M64">
        <v>2896729.28</v>
      </c>
      <c r="N64">
        <v>696647.5</v>
      </c>
    </row>
    <row r="65" spans="1:14" x14ac:dyDescent="0.25">
      <c r="A65" t="s">
        <v>71</v>
      </c>
      <c r="B65" t="s">
        <v>90</v>
      </c>
      <c r="C65" t="s">
        <v>44</v>
      </c>
      <c r="D65" t="s">
        <v>17</v>
      </c>
      <c r="E65" t="s">
        <v>18</v>
      </c>
      <c r="F65">
        <v>40481</v>
      </c>
      <c r="G65" s="1">
        <v>705784308</v>
      </c>
      <c r="H65">
        <v>40499</v>
      </c>
      <c r="I65">
        <v>6116</v>
      </c>
      <c r="J65">
        <v>109.28</v>
      </c>
      <c r="K65">
        <v>35.840000000000003</v>
      </c>
      <c r="L65">
        <v>668356.48</v>
      </c>
      <c r="M65">
        <v>219197.44</v>
      </c>
      <c r="N65">
        <v>449159.04</v>
      </c>
    </row>
    <row r="66" spans="1:14" x14ac:dyDescent="0.25">
      <c r="A66" t="s">
        <v>19</v>
      </c>
      <c r="B66" t="s">
        <v>91</v>
      </c>
      <c r="C66" t="s">
        <v>50</v>
      </c>
      <c r="D66" t="s">
        <v>17</v>
      </c>
      <c r="E66" t="s">
        <v>18</v>
      </c>
      <c r="F66">
        <v>41560</v>
      </c>
      <c r="G66" s="1">
        <v>505716836</v>
      </c>
      <c r="H66">
        <v>41594</v>
      </c>
      <c r="I66">
        <v>1705</v>
      </c>
      <c r="J66">
        <v>437.2</v>
      </c>
      <c r="K66">
        <v>263.33</v>
      </c>
      <c r="L66">
        <v>745426</v>
      </c>
      <c r="M66">
        <v>448977.65</v>
      </c>
      <c r="N66">
        <v>296448.34999999998</v>
      </c>
    </row>
    <row r="67" spans="1:14" x14ac:dyDescent="0.25">
      <c r="A67" t="s">
        <v>28</v>
      </c>
      <c r="B67" t="s">
        <v>31</v>
      </c>
      <c r="C67" t="s">
        <v>50</v>
      </c>
      <c r="D67" t="s">
        <v>17</v>
      </c>
      <c r="E67" t="s">
        <v>18</v>
      </c>
      <c r="F67">
        <v>41558</v>
      </c>
      <c r="G67" s="1">
        <v>699358165</v>
      </c>
      <c r="H67">
        <v>41603</v>
      </c>
      <c r="I67">
        <v>4477</v>
      </c>
      <c r="J67">
        <v>437.2</v>
      </c>
      <c r="K67">
        <v>263.33</v>
      </c>
      <c r="L67">
        <v>1957344.4</v>
      </c>
      <c r="M67">
        <v>1178928.4099999999</v>
      </c>
      <c r="N67">
        <v>778415.99</v>
      </c>
    </row>
    <row r="68" spans="1:14" x14ac:dyDescent="0.25">
      <c r="A68" t="s">
        <v>28</v>
      </c>
      <c r="B68" t="s">
        <v>92</v>
      </c>
      <c r="C68" t="s">
        <v>39</v>
      </c>
      <c r="D68" t="s">
        <v>17</v>
      </c>
      <c r="E68" t="s">
        <v>27</v>
      </c>
      <c r="F68">
        <v>41098</v>
      </c>
      <c r="G68" s="1">
        <v>228944623</v>
      </c>
      <c r="H68">
        <v>41099</v>
      </c>
      <c r="I68">
        <v>8656</v>
      </c>
      <c r="J68">
        <v>81.73</v>
      </c>
      <c r="K68">
        <v>56.67</v>
      </c>
      <c r="L68">
        <v>707454.88</v>
      </c>
      <c r="M68">
        <v>490535.52</v>
      </c>
      <c r="N68">
        <v>216919.36</v>
      </c>
    </row>
    <row r="69" spans="1:14" x14ac:dyDescent="0.25">
      <c r="A69" t="s">
        <v>19</v>
      </c>
      <c r="B69" t="s">
        <v>93</v>
      </c>
      <c r="C69" t="s">
        <v>44</v>
      </c>
      <c r="D69" t="s">
        <v>17</v>
      </c>
      <c r="E69" t="s">
        <v>35</v>
      </c>
      <c r="F69">
        <v>42576</v>
      </c>
      <c r="G69" s="1">
        <v>807025039</v>
      </c>
      <c r="H69">
        <v>42620</v>
      </c>
      <c r="I69">
        <v>5498</v>
      </c>
      <c r="J69">
        <v>109.28</v>
      </c>
      <c r="K69">
        <v>35.840000000000003</v>
      </c>
      <c r="L69">
        <v>600821.43999999994</v>
      </c>
      <c r="M69">
        <v>197048.32000000001</v>
      </c>
      <c r="N69">
        <v>403773.12</v>
      </c>
    </row>
    <row r="70" spans="1:14" x14ac:dyDescent="0.25">
      <c r="A70" t="s">
        <v>24</v>
      </c>
      <c r="B70" t="s">
        <v>94</v>
      </c>
      <c r="C70" t="s">
        <v>26</v>
      </c>
      <c r="D70" t="s">
        <v>17</v>
      </c>
      <c r="E70" t="s">
        <v>18</v>
      </c>
      <c r="F70">
        <v>40475</v>
      </c>
      <c r="G70" s="1">
        <v>166460740</v>
      </c>
      <c r="H70">
        <v>40499</v>
      </c>
      <c r="I70">
        <v>8287</v>
      </c>
      <c r="J70">
        <v>651.21</v>
      </c>
      <c r="K70">
        <v>524.96</v>
      </c>
      <c r="L70">
        <v>5396577.2699999996</v>
      </c>
      <c r="M70">
        <v>4350343.5199999996</v>
      </c>
      <c r="N70">
        <v>1046233.75</v>
      </c>
    </row>
    <row r="71" spans="1:14" x14ac:dyDescent="0.25">
      <c r="A71" t="s">
        <v>28</v>
      </c>
      <c r="B71" t="s">
        <v>95</v>
      </c>
      <c r="C71" t="s">
        <v>44</v>
      </c>
      <c r="D71" t="s">
        <v>17</v>
      </c>
      <c r="E71" t="s">
        <v>27</v>
      </c>
      <c r="F71">
        <v>42119</v>
      </c>
      <c r="G71" s="1">
        <v>610425555</v>
      </c>
      <c r="H71">
        <v>42152</v>
      </c>
      <c r="I71">
        <v>7342</v>
      </c>
      <c r="J71">
        <v>109.28</v>
      </c>
      <c r="K71">
        <v>35.840000000000003</v>
      </c>
      <c r="L71">
        <v>802333.76</v>
      </c>
      <c r="M71">
        <v>263137.28000000003</v>
      </c>
      <c r="N71">
        <v>539196.48</v>
      </c>
    </row>
    <row r="72" spans="1:14" x14ac:dyDescent="0.25">
      <c r="A72" t="s">
        <v>41</v>
      </c>
      <c r="B72" t="s">
        <v>53</v>
      </c>
      <c r="C72" t="s">
        <v>26</v>
      </c>
      <c r="D72" t="s">
        <v>22</v>
      </c>
      <c r="E72" t="s">
        <v>35</v>
      </c>
      <c r="F72">
        <v>41387</v>
      </c>
      <c r="G72" s="1">
        <v>462405812</v>
      </c>
      <c r="H72">
        <v>41414</v>
      </c>
      <c r="I72">
        <v>5010</v>
      </c>
      <c r="J72">
        <v>651.21</v>
      </c>
      <c r="K72">
        <v>524.96</v>
      </c>
      <c r="L72">
        <v>3262562.1</v>
      </c>
      <c r="M72">
        <v>2630049.6</v>
      </c>
      <c r="N72">
        <v>632512.5</v>
      </c>
    </row>
    <row r="73" spans="1:14" x14ac:dyDescent="0.25">
      <c r="A73" t="s">
        <v>71</v>
      </c>
      <c r="B73" t="s">
        <v>90</v>
      </c>
      <c r="C73" t="s">
        <v>30</v>
      </c>
      <c r="D73" t="s">
        <v>22</v>
      </c>
      <c r="E73" t="s">
        <v>27</v>
      </c>
      <c r="F73">
        <v>42230</v>
      </c>
      <c r="G73" s="1">
        <v>816200339</v>
      </c>
      <c r="H73">
        <v>42277</v>
      </c>
      <c r="I73">
        <v>673</v>
      </c>
      <c r="J73">
        <v>9.33</v>
      </c>
      <c r="K73">
        <v>6.92</v>
      </c>
      <c r="L73">
        <v>6279.09</v>
      </c>
      <c r="M73">
        <v>4657.16</v>
      </c>
      <c r="N73">
        <v>1621.93</v>
      </c>
    </row>
    <row r="74" spans="1:14" x14ac:dyDescent="0.25">
      <c r="A74" t="s">
        <v>28</v>
      </c>
      <c r="B74" t="s">
        <v>96</v>
      </c>
      <c r="C74" t="s">
        <v>52</v>
      </c>
      <c r="D74" t="s">
        <v>22</v>
      </c>
      <c r="E74" t="s">
        <v>23</v>
      </c>
      <c r="F74">
        <v>40689</v>
      </c>
      <c r="G74" s="1">
        <v>585920464</v>
      </c>
      <c r="H74">
        <v>40739</v>
      </c>
      <c r="I74">
        <v>5741</v>
      </c>
      <c r="J74">
        <v>47.45</v>
      </c>
      <c r="K74">
        <v>31.79</v>
      </c>
      <c r="L74">
        <v>272410.45</v>
      </c>
      <c r="M74">
        <v>182506.39</v>
      </c>
      <c r="N74">
        <v>89904.06</v>
      </c>
    </row>
    <row r="75" spans="1:14" x14ac:dyDescent="0.25">
      <c r="A75" t="s">
        <v>28</v>
      </c>
      <c r="B75" t="s">
        <v>69</v>
      </c>
      <c r="C75" t="s">
        <v>21</v>
      </c>
      <c r="D75" t="s">
        <v>22</v>
      </c>
      <c r="E75" t="s">
        <v>18</v>
      </c>
      <c r="F75">
        <v>42875</v>
      </c>
      <c r="G75" s="1">
        <v>555990016</v>
      </c>
      <c r="H75">
        <v>42903</v>
      </c>
      <c r="I75">
        <v>8656</v>
      </c>
      <c r="J75">
        <v>205.7</v>
      </c>
      <c r="K75">
        <v>117.11</v>
      </c>
      <c r="L75">
        <v>1780539.2</v>
      </c>
      <c r="M75">
        <v>1013704.16</v>
      </c>
      <c r="N75">
        <v>766835.04</v>
      </c>
    </row>
    <row r="76" spans="1:14" x14ac:dyDescent="0.25">
      <c r="A76" t="s">
        <v>71</v>
      </c>
      <c r="B76" t="s">
        <v>97</v>
      </c>
      <c r="C76" t="s">
        <v>50</v>
      </c>
      <c r="D76" t="s">
        <v>17</v>
      </c>
      <c r="E76" t="s">
        <v>27</v>
      </c>
      <c r="F76">
        <v>41460</v>
      </c>
      <c r="G76" s="1">
        <v>231145322</v>
      </c>
      <c r="H76">
        <v>41502</v>
      </c>
      <c r="I76">
        <v>9892</v>
      </c>
      <c r="J76">
        <v>437.2</v>
      </c>
      <c r="K76">
        <v>263.33</v>
      </c>
      <c r="L76">
        <v>4324782.4000000004</v>
      </c>
      <c r="M76">
        <v>2604860.36</v>
      </c>
      <c r="N76">
        <v>1719922.04</v>
      </c>
    </row>
    <row r="77" spans="1:14" x14ac:dyDescent="0.25">
      <c r="A77" t="s">
        <v>98</v>
      </c>
      <c r="B77" t="s">
        <v>99</v>
      </c>
      <c r="C77" t="s">
        <v>34</v>
      </c>
      <c r="D77" t="s">
        <v>17</v>
      </c>
      <c r="E77" t="s">
        <v>23</v>
      </c>
      <c r="F77">
        <v>41949</v>
      </c>
      <c r="G77" s="1">
        <v>986435210</v>
      </c>
      <c r="H77">
        <v>41985</v>
      </c>
      <c r="I77">
        <v>6954</v>
      </c>
      <c r="J77">
        <v>668.27</v>
      </c>
      <c r="K77">
        <v>502.54</v>
      </c>
      <c r="L77">
        <v>4647149.58</v>
      </c>
      <c r="M77">
        <v>3494663.16</v>
      </c>
      <c r="N77">
        <v>1152486.42</v>
      </c>
    </row>
    <row r="78" spans="1:14" x14ac:dyDescent="0.25">
      <c r="A78" t="s">
        <v>14</v>
      </c>
      <c r="B78" t="s">
        <v>100</v>
      </c>
      <c r="C78" t="s">
        <v>52</v>
      </c>
      <c r="D78" t="s">
        <v>22</v>
      </c>
      <c r="E78" t="s">
        <v>23</v>
      </c>
      <c r="F78">
        <v>41940</v>
      </c>
      <c r="G78" s="1">
        <v>217221009</v>
      </c>
      <c r="H78">
        <v>41958</v>
      </c>
      <c r="I78">
        <v>9379</v>
      </c>
      <c r="J78">
        <v>47.45</v>
      </c>
      <c r="K78">
        <v>31.79</v>
      </c>
      <c r="L78">
        <v>445033.55</v>
      </c>
      <c r="M78">
        <v>298158.40999999997</v>
      </c>
      <c r="N78">
        <v>146875.14000000001</v>
      </c>
    </row>
    <row r="79" spans="1:14" x14ac:dyDescent="0.25">
      <c r="A79" t="s">
        <v>41</v>
      </c>
      <c r="B79" t="s">
        <v>101</v>
      </c>
      <c r="C79" t="s">
        <v>37</v>
      </c>
      <c r="D79" t="s">
        <v>17</v>
      </c>
      <c r="E79" t="s">
        <v>23</v>
      </c>
      <c r="F79">
        <v>40801</v>
      </c>
      <c r="G79" s="1">
        <v>789176547</v>
      </c>
      <c r="H79">
        <v>40839</v>
      </c>
      <c r="I79">
        <v>3732</v>
      </c>
      <c r="J79">
        <v>154.06</v>
      </c>
      <c r="K79">
        <v>90.93</v>
      </c>
      <c r="L79">
        <v>574951.92000000004</v>
      </c>
      <c r="M79">
        <v>339350.76</v>
      </c>
      <c r="N79">
        <v>235601.16</v>
      </c>
    </row>
    <row r="80" spans="1:14" x14ac:dyDescent="0.25">
      <c r="A80" t="s">
        <v>24</v>
      </c>
      <c r="B80" t="s">
        <v>102</v>
      </c>
      <c r="C80" t="s">
        <v>16</v>
      </c>
      <c r="D80" t="s">
        <v>17</v>
      </c>
      <c r="E80" t="s">
        <v>18</v>
      </c>
      <c r="F80">
        <v>41058</v>
      </c>
      <c r="G80" s="1">
        <v>688288152</v>
      </c>
      <c r="H80">
        <v>41062</v>
      </c>
      <c r="I80">
        <v>8614</v>
      </c>
      <c r="J80">
        <v>255.28</v>
      </c>
      <c r="K80">
        <v>159.41999999999999</v>
      </c>
      <c r="L80">
        <v>2198981.92</v>
      </c>
      <c r="M80">
        <v>1373243.88</v>
      </c>
      <c r="N80">
        <v>825738.04</v>
      </c>
    </row>
    <row r="81" spans="1:14" x14ac:dyDescent="0.25">
      <c r="A81" t="s">
        <v>14</v>
      </c>
      <c r="B81" t="s">
        <v>103</v>
      </c>
      <c r="C81" t="s">
        <v>50</v>
      </c>
      <c r="D81" t="s">
        <v>22</v>
      </c>
      <c r="E81" t="s">
        <v>18</v>
      </c>
      <c r="F81">
        <v>41475</v>
      </c>
      <c r="G81" s="1">
        <v>670854651</v>
      </c>
      <c r="H81">
        <v>41493</v>
      </c>
      <c r="I81">
        <v>9654</v>
      </c>
      <c r="J81">
        <v>437.2</v>
      </c>
      <c r="K81">
        <v>263.33</v>
      </c>
      <c r="L81">
        <v>4220728.8</v>
      </c>
      <c r="M81">
        <v>2542187.8199999998</v>
      </c>
      <c r="N81">
        <v>1678540.98</v>
      </c>
    </row>
    <row r="82" spans="1:14" x14ac:dyDescent="0.25">
      <c r="A82" t="s">
        <v>24</v>
      </c>
      <c r="B82" t="s">
        <v>104</v>
      </c>
      <c r="C82" t="s">
        <v>34</v>
      </c>
      <c r="D82" t="s">
        <v>17</v>
      </c>
      <c r="E82" t="s">
        <v>27</v>
      </c>
      <c r="F82">
        <v>41203</v>
      </c>
      <c r="G82" s="1">
        <v>213487374</v>
      </c>
      <c r="H82">
        <v>41243</v>
      </c>
      <c r="I82">
        <v>4513</v>
      </c>
      <c r="J82">
        <v>668.27</v>
      </c>
      <c r="K82">
        <v>502.54</v>
      </c>
      <c r="L82">
        <v>3015902.51</v>
      </c>
      <c r="M82">
        <v>2267963.02</v>
      </c>
      <c r="N82">
        <v>747939.49</v>
      </c>
    </row>
    <row r="83" spans="1:14" x14ac:dyDescent="0.25">
      <c r="A83" t="s">
        <v>71</v>
      </c>
      <c r="B83" t="s">
        <v>105</v>
      </c>
      <c r="C83" t="s">
        <v>44</v>
      </c>
      <c r="D83" t="s">
        <v>22</v>
      </c>
      <c r="E83" t="s">
        <v>27</v>
      </c>
      <c r="F83">
        <v>41170</v>
      </c>
      <c r="G83" s="1">
        <v>663110148</v>
      </c>
      <c r="H83">
        <v>41190</v>
      </c>
      <c r="I83">
        <v>7884</v>
      </c>
      <c r="J83">
        <v>109.28</v>
      </c>
      <c r="K83">
        <v>35.840000000000003</v>
      </c>
      <c r="L83">
        <v>861563.52</v>
      </c>
      <c r="M83">
        <v>282562.56</v>
      </c>
      <c r="N83">
        <v>579000.96</v>
      </c>
    </row>
    <row r="84" spans="1:14" x14ac:dyDescent="0.25">
      <c r="A84" t="s">
        <v>71</v>
      </c>
      <c r="B84" t="s">
        <v>106</v>
      </c>
      <c r="C84" t="s">
        <v>50</v>
      </c>
      <c r="D84" t="s">
        <v>22</v>
      </c>
      <c r="E84" t="s">
        <v>18</v>
      </c>
      <c r="F84">
        <v>42689</v>
      </c>
      <c r="G84" s="1">
        <v>286959302</v>
      </c>
      <c r="H84">
        <v>42712</v>
      </c>
      <c r="I84">
        <v>6489</v>
      </c>
      <c r="J84">
        <v>437.2</v>
      </c>
      <c r="K84">
        <v>263.33</v>
      </c>
      <c r="L84">
        <v>2836990.8</v>
      </c>
      <c r="M84">
        <v>1708748.37</v>
      </c>
      <c r="N84">
        <v>1128242.43</v>
      </c>
    </row>
    <row r="85" spans="1:14" x14ac:dyDescent="0.25">
      <c r="A85" t="s">
        <v>28</v>
      </c>
      <c r="B85" t="s">
        <v>107</v>
      </c>
      <c r="C85" t="s">
        <v>58</v>
      </c>
      <c r="D85" t="s">
        <v>22</v>
      </c>
      <c r="E85" t="s">
        <v>27</v>
      </c>
      <c r="F85">
        <v>40547</v>
      </c>
      <c r="G85" s="1">
        <v>122583663</v>
      </c>
      <c r="H85">
        <v>40548</v>
      </c>
      <c r="I85">
        <v>4085</v>
      </c>
      <c r="J85">
        <v>152.58000000000001</v>
      </c>
      <c r="K85">
        <v>97.44</v>
      </c>
      <c r="L85">
        <v>623289.30000000005</v>
      </c>
      <c r="M85">
        <v>398042.4</v>
      </c>
      <c r="N85">
        <v>225246.9</v>
      </c>
    </row>
    <row r="86" spans="1:14" x14ac:dyDescent="0.25">
      <c r="A86" t="s">
        <v>28</v>
      </c>
      <c r="B86" t="s">
        <v>108</v>
      </c>
      <c r="C86" t="s">
        <v>37</v>
      </c>
      <c r="D86" t="s">
        <v>22</v>
      </c>
      <c r="E86" t="s">
        <v>27</v>
      </c>
      <c r="F86">
        <v>40986</v>
      </c>
      <c r="G86" s="1">
        <v>827844560</v>
      </c>
      <c r="H86">
        <v>41006</v>
      </c>
      <c r="I86">
        <v>6457</v>
      </c>
      <c r="J86">
        <v>154.06</v>
      </c>
      <c r="K86">
        <v>90.93</v>
      </c>
      <c r="L86">
        <v>994765.42</v>
      </c>
      <c r="M86">
        <v>587135.01</v>
      </c>
      <c r="N86">
        <v>407630.41</v>
      </c>
    </row>
    <row r="87" spans="1:14" x14ac:dyDescent="0.25">
      <c r="A87" t="s">
        <v>98</v>
      </c>
      <c r="B87" t="s">
        <v>99</v>
      </c>
      <c r="C87" t="s">
        <v>39</v>
      </c>
      <c r="D87" t="s">
        <v>17</v>
      </c>
      <c r="E87" t="s">
        <v>27</v>
      </c>
      <c r="F87">
        <v>40956</v>
      </c>
      <c r="G87" s="1">
        <v>430915820</v>
      </c>
      <c r="H87">
        <v>40988</v>
      </c>
      <c r="I87">
        <v>6422</v>
      </c>
      <c r="J87">
        <v>81.73</v>
      </c>
      <c r="K87">
        <v>56.67</v>
      </c>
      <c r="L87">
        <v>524870.06000000006</v>
      </c>
      <c r="M87">
        <v>363934.74</v>
      </c>
      <c r="N87">
        <v>160935.32</v>
      </c>
    </row>
    <row r="88" spans="1:14" x14ac:dyDescent="0.25">
      <c r="A88" t="s">
        <v>28</v>
      </c>
      <c r="B88" t="s">
        <v>29</v>
      </c>
      <c r="C88" t="s">
        <v>52</v>
      </c>
      <c r="D88" t="s">
        <v>17</v>
      </c>
      <c r="E88" t="s">
        <v>23</v>
      </c>
      <c r="F88">
        <v>40559</v>
      </c>
      <c r="G88" s="1">
        <v>180283772</v>
      </c>
      <c r="H88">
        <v>40564</v>
      </c>
      <c r="I88">
        <v>8829</v>
      </c>
      <c r="J88">
        <v>47.45</v>
      </c>
      <c r="K88">
        <v>31.79</v>
      </c>
      <c r="L88">
        <v>418936.05</v>
      </c>
      <c r="M88">
        <v>280673.90999999997</v>
      </c>
      <c r="N88">
        <v>138262.14000000001</v>
      </c>
    </row>
    <row r="89" spans="1:14" x14ac:dyDescent="0.25">
      <c r="A89" t="s">
        <v>28</v>
      </c>
      <c r="B89" t="s">
        <v>64</v>
      </c>
      <c r="C89" t="s">
        <v>16</v>
      </c>
      <c r="D89" t="s">
        <v>17</v>
      </c>
      <c r="E89" t="s">
        <v>35</v>
      </c>
      <c r="F89">
        <v>41673</v>
      </c>
      <c r="G89" s="1">
        <v>494747245</v>
      </c>
      <c r="H89">
        <v>41718</v>
      </c>
      <c r="I89">
        <v>5559</v>
      </c>
      <c r="J89">
        <v>255.28</v>
      </c>
      <c r="K89">
        <v>159.41999999999999</v>
      </c>
      <c r="L89">
        <v>1419101.52</v>
      </c>
      <c r="M89">
        <v>886215.78</v>
      </c>
      <c r="N89">
        <v>532885.74</v>
      </c>
    </row>
    <row r="90" spans="1:14" x14ac:dyDescent="0.25">
      <c r="A90" t="s">
        <v>71</v>
      </c>
      <c r="B90" t="s">
        <v>109</v>
      </c>
      <c r="C90" t="s">
        <v>30</v>
      </c>
      <c r="D90" t="s">
        <v>22</v>
      </c>
      <c r="E90" t="s">
        <v>35</v>
      </c>
      <c r="F90">
        <v>41029</v>
      </c>
      <c r="G90" s="1">
        <v>513417565</v>
      </c>
      <c r="H90">
        <v>41047</v>
      </c>
      <c r="I90">
        <v>522</v>
      </c>
      <c r="J90">
        <v>9.33</v>
      </c>
      <c r="K90">
        <v>6.92</v>
      </c>
      <c r="L90">
        <v>4870.26</v>
      </c>
      <c r="M90">
        <v>3612.24</v>
      </c>
      <c r="N90">
        <v>1258.02</v>
      </c>
    </row>
    <row r="91" spans="1:14" x14ac:dyDescent="0.25">
      <c r="A91" t="s">
        <v>24</v>
      </c>
      <c r="B91" t="s">
        <v>110</v>
      </c>
      <c r="C91" t="s">
        <v>52</v>
      </c>
      <c r="D91" t="s">
        <v>17</v>
      </c>
      <c r="E91" t="s">
        <v>23</v>
      </c>
      <c r="F91">
        <v>42666</v>
      </c>
      <c r="G91" s="1">
        <v>345718562</v>
      </c>
      <c r="H91">
        <v>42699</v>
      </c>
      <c r="I91">
        <v>4660</v>
      </c>
      <c r="J91">
        <v>47.45</v>
      </c>
      <c r="K91">
        <v>31.79</v>
      </c>
      <c r="L91">
        <v>221117</v>
      </c>
      <c r="M91">
        <v>148141.4</v>
      </c>
      <c r="N91">
        <v>72975.600000000006</v>
      </c>
    </row>
    <row r="92" spans="1:14" x14ac:dyDescent="0.25">
      <c r="A92" t="s">
        <v>28</v>
      </c>
      <c r="B92" t="s">
        <v>84</v>
      </c>
      <c r="C92" t="s">
        <v>26</v>
      </c>
      <c r="D92" t="s">
        <v>17</v>
      </c>
      <c r="E92" t="s">
        <v>18</v>
      </c>
      <c r="F92">
        <v>42710</v>
      </c>
      <c r="G92" s="1">
        <v>621386563</v>
      </c>
      <c r="H92">
        <v>42718</v>
      </c>
      <c r="I92">
        <v>948</v>
      </c>
      <c r="J92">
        <v>651.21</v>
      </c>
      <c r="K92">
        <v>524.96</v>
      </c>
      <c r="L92">
        <v>617347.07999999996</v>
      </c>
      <c r="M92">
        <v>497662.08</v>
      </c>
      <c r="N92">
        <v>119685</v>
      </c>
    </row>
    <row r="93" spans="1:14" x14ac:dyDescent="0.25">
      <c r="A93" t="s">
        <v>14</v>
      </c>
      <c r="B93" t="s">
        <v>67</v>
      </c>
      <c r="C93" t="s">
        <v>52</v>
      </c>
      <c r="D93" t="s">
        <v>17</v>
      </c>
      <c r="E93" t="s">
        <v>18</v>
      </c>
      <c r="F93">
        <v>41827</v>
      </c>
      <c r="G93" s="1">
        <v>240470397</v>
      </c>
      <c r="H93">
        <v>41831</v>
      </c>
      <c r="I93">
        <v>9389</v>
      </c>
      <c r="J93">
        <v>47.45</v>
      </c>
      <c r="K93">
        <v>31.79</v>
      </c>
      <c r="L93">
        <v>445508.05</v>
      </c>
      <c r="M93">
        <v>298476.31</v>
      </c>
      <c r="N93">
        <v>147031.74</v>
      </c>
    </row>
    <row r="94" spans="1:14" x14ac:dyDescent="0.25">
      <c r="A94" t="s">
        <v>71</v>
      </c>
      <c r="B94" t="s">
        <v>75</v>
      </c>
      <c r="C94" t="s">
        <v>26</v>
      </c>
      <c r="D94" t="s">
        <v>22</v>
      </c>
      <c r="E94" t="s">
        <v>35</v>
      </c>
      <c r="F94">
        <v>41073</v>
      </c>
      <c r="G94" s="1">
        <v>423331391</v>
      </c>
      <c r="H94">
        <v>41114</v>
      </c>
      <c r="I94">
        <v>2021</v>
      </c>
      <c r="J94">
        <v>651.21</v>
      </c>
      <c r="K94">
        <v>524.96</v>
      </c>
      <c r="L94">
        <v>1316095.4099999999</v>
      </c>
      <c r="M94">
        <v>1060944.1599999999</v>
      </c>
      <c r="N94">
        <v>255151.25</v>
      </c>
    </row>
    <row r="95" spans="1:14" x14ac:dyDescent="0.25">
      <c r="A95" t="s">
        <v>24</v>
      </c>
      <c r="B95" t="s">
        <v>111</v>
      </c>
      <c r="C95" t="s">
        <v>50</v>
      </c>
      <c r="D95" t="s">
        <v>22</v>
      </c>
      <c r="E95" t="s">
        <v>18</v>
      </c>
      <c r="F95">
        <v>40508</v>
      </c>
      <c r="G95" s="1">
        <v>660643374</v>
      </c>
      <c r="H95">
        <v>40537</v>
      </c>
      <c r="I95">
        <v>7910</v>
      </c>
      <c r="J95">
        <v>437.2</v>
      </c>
      <c r="K95">
        <v>263.33</v>
      </c>
      <c r="L95">
        <v>3458252</v>
      </c>
      <c r="M95">
        <v>2082940.3</v>
      </c>
      <c r="N95">
        <v>1375311.7</v>
      </c>
    </row>
    <row r="96" spans="1:14" x14ac:dyDescent="0.25">
      <c r="A96" t="s">
        <v>19</v>
      </c>
      <c r="B96" t="s">
        <v>112</v>
      </c>
      <c r="C96" t="s">
        <v>52</v>
      </c>
      <c r="D96" t="s">
        <v>17</v>
      </c>
      <c r="E96" t="s">
        <v>23</v>
      </c>
      <c r="F96">
        <v>40582</v>
      </c>
      <c r="G96" s="1">
        <v>963392674</v>
      </c>
      <c r="H96">
        <v>40623</v>
      </c>
      <c r="I96">
        <v>8156</v>
      </c>
      <c r="J96">
        <v>47.45</v>
      </c>
      <c r="K96">
        <v>31.79</v>
      </c>
      <c r="L96">
        <v>387002.2</v>
      </c>
      <c r="M96">
        <v>259279.24</v>
      </c>
      <c r="N96">
        <v>127722.96</v>
      </c>
    </row>
    <row r="97" spans="1:14" x14ac:dyDescent="0.25">
      <c r="A97" t="s">
        <v>28</v>
      </c>
      <c r="B97" t="s">
        <v>63</v>
      </c>
      <c r="C97" t="s">
        <v>44</v>
      </c>
      <c r="D97" t="s">
        <v>22</v>
      </c>
      <c r="E97" t="s">
        <v>35</v>
      </c>
      <c r="F97">
        <v>40750</v>
      </c>
      <c r="G97" s="1">
        <v>512878119</v>
      </c>
      <c r="H97">
        <v>40789</v>
      </c>
      <c r="I97">
        <v>888</v>
      </c>
      <c r="J97">
        <v>109.28</v>
      </c>
      <c r="K97">
        <v>35.840000000000003</v>
      </c>
      <c r="L97">
        <v>97040.639999999999</v>
      </c>
      <c r="M97">
        <v>31825.919999999998</v>
      </c>
      <c r="N97">
        <v>65214.720000000001</v>
      </c>
    </row>
    <row r="98" spans="1:14" x14ac:dyDescent="0.25">
      <c r="A98" t="s">
        <v>41</v>
      </c>
      <c r="B98" t="s">
        <v>113</v>
      </c>
      <c r="C98" t="s">
        <v>30</v>
      </c>
      <c r="D98" t="s">
        <v>17</v>
      </c>
      <c r="E98" t="s">
        <v>27</v>
      </c>
      <c r="F98">
        <v>40858</v>
      </c>
      <c r="G98" s="1">
        <v>810711038</v>
      </c>
      <c r="H98">
        <v>40905</v>
      </c>
      <c r="I98">
        <v>6267</v>
      </c>
      <c r="J98">
        <v>9.33</v>
      </c>
      <c r="K98">
        <v>6.92</v>
      </c>
      <c r="L98">
        <v>58471.11</v>
      </c>
      <c r="M98">
        <v>43367.64</v>
      </c>
      <c r="N98">
        <v>15103.47</v>
      </c>
    </row>
    <row r="99" spans="1:14" x14ac:dyDescent="0.25">
      <c r="A99" t="s">
        <v>28</v>
      </c>
      <c r="B99" t="s">
        <v>84</v>
      </c>
      <c r="C99" t="s">
        <v>37</v>
      </c>
      <c r="D99" t="s">
        <v>17</v>
      </c>
      <c r="E99" t="s">
        <v>23</v>
      </c>
      <c r="F99">
        <v>42522</v>
      </c>
      <c r="G99" s="1">
        <v>728815257</v>
      </c>
      <c r="H99">
        <v>42550</v>
      </c>
      <c r="I99">
        <v>1485</v>
      </c>
      <c r="J99">
        <v>154.06</v>
      </c>
      <c r="K99">
        <v>90.93</v>
      </c>
      <c r="L99">
        <v>228779.1</v>
      </c>
      <c r="M99">
        <v>135031.04999999999</v>
      </c>
      <c r="N99">
        <v>93748.05</v>
      </c>
    </row>
    <row r="100" spans="1:14" x14ac:dyDescent="0.25">
      <c r="A100" t="s">
        <v>98</v>
      </c>
      <c r="B100" t="s">
        <v>99</v>
      </c>
      <c r="C100" t="s">
        <v>39</v>
      </c>
      <c r="D100" t="s">
        <v>17</v>
      </c>
      <c r="E100" t="s">
        <v>35</v>
      </c>
      <c r="F100">
        <v>42215</v>
      </c>
      <c r="G100" s="1">
        <v>559427106</v>
      </c>
      <c r="H100">
        <v>42224</v>
      </c>
      <c r="I100">
        <v>5767</v>
      </c>
      <c r="J100">
        <v>81.73</v>
      </c>
      <c r="K100">
        <v>56.67</v>
      </c>
      <c r="L100">
        <v>471336.91</v>
      </c>
      <c r="M100">
        <v>326815.89</v>
      </c>
      <c r="N100">
        <v>144521.01999999999</v>
      </c>
    </row>
    <row r="101" spans="1:14" x14ac:dyDescent="0.25">
      <c r="A101" t="s">
        <v>28</v>
      </c>
      <c r="B101" t="s">
        <v>114</v>
      </c>
      <c r="C101" t="s">
        <v>34</v>
      </c>
      <c r="D101" t="s">
        <v>17</v>
      </c>
      <c r="E101" t="s">
        <v>27</v>
      </c>
      <c r="F101">
        <v>40949</v>
      </c>
      <c r="G101" s="1">
        <v>665095412</v>
      </c>
      <c r="H101">
        <v>40954</v>
      </c>
      <c r="I101">
        <v>5367</v>
      </c>
      <c r="J101">
        <v>668.27</v>
      </c>
      <c r="K101">
        <v>502.54</v>
      </c>
      <c r="L101">
        <v>3586605.09</v>
      </c>
      <c r="M101">
        <v>2697132.18</v>
      </c>
      <c r="N101">
        <v>889472.91</v>
      </c>
    </row>
  </sheetData>
  <pageMargins left="0.7" right="0.7"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Tables_Charts</vt:lpstr>
      <vt:lpstr>Summary_Tables</vt:lpstr>
      <vt:lpstr>Pivot</vt:lpstr>
      <vt:lpstr>Refined_Data</vt:lpstr>
      <vt:lpstr>Sheet1</vt:lpstr>
      <vt:lpstr>Raw_Data</vt:lpstr>
      <vt:lpstr>Tables_Charts!Extract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patel</dc:creator>
  <cp:lastModifiedBy>LightHouse 24</cp:lastModifiedBy>
  <dcterms:created xsi:type="dcterms:W3CDTF">2020-01-07T09:43:14Z</dcterms:created>
  <dcterms:modified xsi:type="dcterms:W3CDTF">2025-12-28T20:30:57Z</dcterms:modified>
</cp:coreProperties>
</file>