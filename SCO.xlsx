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b8923118be15b654/Documents/"/>
    </mc:Choice>
  </mc:AlternateContent>
  <xr:revisionPtr revIDLastSave="8" documentId="8_{2865DA54-341E-4C9E-9788-90990AAB262C}" xr6:coauthVersionLast="47" xr6:coauthVersionMax="47" xr10:uidLastSave="{2CFD6812-B095-46F6-8142-BF35DAAF55AB}"/>
  <bookViews>
    <workbookView xWindow="-120" yWindow="-120" windowWidth="19440" windowHeight="11640" xr2:uid="{00000000-000D-0000-FFFF-FFFF00000000}"/>
  </bookViews>
  <sheets>
    <sheet name="Dashboard" sheetId="11" r:id="rId1"/>
    <sheet name="Tables_Charts" sheetId="2" state="hidden" r:id="rId2"/>
    <sheet name="Refined_Data" sheetId="5" state="hidden" r:id="rId3"/>
    <sheet name="Raw_Data" sheetId="1" state="hidden" r:id="rId4"/>
  </sheets>
  <definedNames>
    <definedName name="_xlnm._FilterDatabase" localSheetId="2" hidden="1">Refined_Data!$A$1:$O$102</definedName>
    <definedName name="_xlnm._FilterDatabase" localSheetId="1" hidden="1">Tables_Charts!$A$1:$O$102</definedName>
    <definedName name="_xlnm.Extract" localSheetId="2">Refined_Data!#REF!</definedName>
    <definedName name="_xlnm.Extract" localSheetId="1">Tables_Charts!$S$83:$S$172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63" i="2" l="1"/>
  <c r="W89" i="2"/>
  <c r="V89" i="2"/>
  <c r="W83" i="2"/>
  <c r="V83" i="2"/>
  <c r="T83" i="2"/>
  <c r="T72" i="2"/>
  <c r="V56" i="2"/>
  <c r="U56" i="2"/>
  <c r="T56" i="2"/>
  <c r="U45" i="2"/>
  <c r="T45" i="2"/>
  <c r="U29" i="2"/>
  <c r="T29" i="2"/>
  <c r="T17" i="2"/>
  <c r="T6" i="2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2" i="5"/>
  <c r="T147" i="2"/>
  <c r="T30" i="2"/>
  <c r="AB30" i="2" s="1"/>
  <c r="V31" i="2"/>
  <c r="T18" i="2"/>
  <c r="AB31" i="2"/>
  <c r="AB32" i="2"/>
  <c r="AB33" i="2"/>
  <c r="AB34" i="2"/>
  <c r="AB35" i="2"/>
  <c r="AB36" i="2"/>
  <c r="AB37" i="2"/>
  <c r="AB38" i="2"/>
  <c r="AB39" i="2"/>
  <c r="AB40" i="2"/>
  <c r="O102" i="5"/>
  <c r="N102" i="5"/>
  <c r="M102" i="5"/>
  <c r="L102" i="5"/>
  <c r="J102" i="5"/>
  <c r="G2" i="5"/>
  <c r="U164" i="2"/>
  <c r="U165" i="2"/>
  <c r="U166" i="2"/>
  <c r="U167" i="2"/>
  <c r="U168" i="2"/>
  <c r="U169" i="2"/>
  <c r="U170" i="2"/>
  <c r="T171" i="2"/>
  <c r="T170" i="2"/>
  <c r="T169" i="2"/>
  <c r="T168" i="2"/>
  <c r="T167" i="2"/>
  <c r="T166" i="2"/>
  <c r="T165" i="2"/>
  <c r="T164" i="2"/>
  <c r="T16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8" i="2"/>
  <c r="T149" i="2"/>
  <c r="T150" i="2"/>
  <c r="T151" i="2"/>
  <c r="T152" i="2"/>
  <c r="T153" i="2"/>
  <c r="T154" i="2"/>
  <c r="T155" i="2"/>
  <c r="T156" i="2"/>
  <c r="T157" i="2"/>
  <c r="T158" i="2"/>
  <c r="V57" i="2"/>
  <c r="V65" i="2"/>
  <c r="T57" i="2"/>
  <c r="T58" i="2"/>
  <c r="T59" i="2"/>
  <c r="T60" i="2"/>
  <c r="T61" i="2"/>
  <c r="T62" i="2"/>
  <c r="T63" i="2"/>
  <c r="T64" i="2"/>
  <c r="T65" i="2"/>
  <c r="T66" i="2"/>
  <c r="T67" i="2"/>
  <c r="U57" i="2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U66" i="2"/>
  <c r="V66" i="2" s="1"/>
  <c r="U67" i="2"/>
  <c r="V67" i="2" s="1"/>
  <c r="T46" i="2"/>
  <c r="T47" i="2"/>
  <c r="T48" i="2"/>
  <c r="T49" i="2"/>
  <c r="T50" i="2"/>
  <c r="T51" i="2"/>
  <c r="T7" i="2"/>
  <c r="T8" i="2"/>
  <c r="T9" i="2"/>
  <c r="T10" i="2"/>
  <c r="T11" i="2"/>
  <c r="T12" i="2"/>
  <c r="O102" i="2"/>
  <c r="N102" i="2"/>
  <c r="M102" i="2"/>
  <c r="L102" i="2"/>
  <c r="J102" i="2"/>
  <c r="G15" i="2"/>
  <c r="G16" i="2"/>
  <c r="G17" i="2"/>
  <c r="G18" i="2"/>
  <c r="AA37" i="2" s="1"/>
  <c r="G19" i="2"/>
  <c r="G20" i="2"/>
  <c r="G21" i="2"/>
  <c r="T39" i="2" s="1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5" i="2"/>
  <c r="AA32" i="2" s="1"/>
  <c r="G6" i="2"/>
  <c r="G7" i="2"/>
  <c r="G8" i="2"/>
  <c r="G9" i="2"/>
  <c r="AA34" i="2" s="1"/>
  <c r="G10" i="2"/>
  <c r="G11" i="2"/>
  <c r="G12" i="2"/>
  <c r="G13" i="2"/>
  <c r="AA36" i="2" s="1"/>
  <c r="G14" i="2"/>
  <c r="G4" i="2"/>
  <c r="G3" i="2"/>
  <c r="G2" i="2"/>
  <c r="T73" i="2" s="1"/>
  <c r="AB29" i="2" l="1"/>
  <c r="V85" i="2"/>
  <c r="V92" i="2"/>
  <c r="V84" i="2"/>
  <c r="W92" i="2"/>
  <c r="W86" i="2"/>
  <c r="V90" i="2"/>
  <c r="W91" i="2"/>
  <c r="W84" i="2"/>
  <c r="V86" i="2"/>
  <c r="W85" i="2"/>
  <c r="V91" i="2"/>
  <c r="W90" i="2"/>
  <c r="AB41" i="2"/>
  <c r="AA33" i="2"/>
  <c r="T159" i="2"/>
  <c r="T31" i="2"/>
  <c r="AA40" i="2"/>
  <c r="AA30" i="2"/>
  <c r="T13" i="2"/>
  <c r="T35" i="2"/>
  <c r="AA38" i="2"/>
  <c r="T23" i="2"/>
  <c r="T19" i="2"/>
  <c r="T38" i="2"/>
  <c r="T34" i="2"/>
  <c r="U39" i="2"/>
  <c r="U35" i="2"/>
  <c r="U31" i="2"/>
  <c r="V39" i="2"/>
  <c r="V35" i="2"/>
  <c r="W39" i="2"/>
  <c r="W35" i="2"/>
  <c r="W31" i="2"/>
  <c r="X39" i="2"/>
  <c r="X35" i="2"/>
  <c r="X31" i="2"/>
  <c r="Y39" i="2"/>
  <c r="Y35" i="2"/>
  <c r="Y31" i="2"/>
  <c r="Z39" i="2"/>
  <c r="Z35" i="2"/>
  <c r="Z31" i="2"/>
  <c r="AA39" i="2"/>
  <c r="AA35" i="2"/>
  <c r="AA31" i="2"/>
  <c r="T76" i="2"/>
  <c r="T22" i="2"/>
  <c r="T37" i="2"/>
  <c r="T33" i="2"/>
  <c r="U38" i="2"/>
  <c r="U34" i="2"/>
  <c r="U30" i="2"/>
  <c r="V38" i="2"/>
  <c r="V34" i="2"/>
  <c r="V30" i="2"/>
  <c r="W38" i="2"/>
  <c r="W34" i="2"/>
  <c r="W30" i="2"/>
  <c r="X38" i="2"/>
  <c r="X34" i="2"/>
  <c r="X30" i="2"/>
  <c r="Y38" i="2"/>
  <c r="Y34" i="2"/>
  <c r="Y30" i="2"/>
  <c r="Z38" i="2"/>
  <c r="Z34" i="2"/>
  <c r="Z30" i="2"/>
  <c r="T52" i="2"/>
  <c r="T79" i="2"/>
  <c r="T75" i="2"/>
  <c r="T25" i="2"/>
  <c r="T21" i="2"/>
  <c r="T40" i="2"/>
  <c r="T36" i="2"/>
  <c r="T32" i="2"/>
  <c r="U37" i="2"/>
  <c r="U33" i="2"/>
  <c r="V29" i="2"/>
  <c r="V37" i="2"/>
  <c r="V33" i="2"/>
  <c r="W29" i="2"/>
  <c r="W37" i="2"/>
  <c r="W33" i="2"/>
  <c r="X29" i="2"/>
  <c r="X37" i="2"/>
  <c r="X33" i="2"/>
  <c r="Y29" i="2"/>
  <c r="Y37" i="2"/>
  <c r="Y33" i="2"/>
  <c r="Z29" i="2"/>
  <c r="Z37" i="2"/>
  <c r="Z33" i="2"/>
  <c r="AA29" i="2"/>
  <c r="U68" i="2"/>
  <c r="T78" i="2"/>
  <c r="T74" i="2"/>
  <c r="T24" i="2"/>
  <c r="T20" i="2"/>
  <c r="U40" i="2"/>
  <c r="U36" i="2"/>
  <c r="U32" i="2"/>
  <c r="V40" i="2"/>
  <c r="V36" i="2"/>
  <c r="V32" i="2"/>
  <c r="W40" i="2"/>
  <c r="W36" i="2"/>
  <c r="W32" i="2"/>
  <c r="X40" i="2"/>
  <c r="X36" i="2"/>
  <c r="X32" i="2"/>
  <c r="Y40" i="2"/>
  <c r="Y36" i="2"/>
  <c r="Y32" i="2"/>
  <c r="Z40" i="2"/>
  <c r="Z36" i="2"/>
  <c r="Z32" i="2"/>
  <c r="T68" i="2"/>
  <c r="T77" i="2"/>
  <c r="AA41" i="2" l="1"/>
  <c r="X41" i="2"/>
  <c r="U47" i="2"/>
  <c r="Y41" i="2"/>
  <c r="U41" i="2"/>
  <c r="T41" i="2"/>
  <c r="U49" i="2"/>
  <c r="U51" i="2"/>
  <c r="V68" i="2"/>
  <c r="Z41" i="2"/>
  <c r="V41" i="2"/>
  <c r="U46" i="2"/>
  <c r="U48" i="2"/>
  <c r="W41" i="2"/>
  <c r="U50" i="2"/>
  <c r="U52" i="2" l="1"/>
</calcChain>
</file>

<file path=xl/sharedStrings.xml><?xml version="1.0" encoding="utf-8"?>
<sst xmlns="http://schemas.openxmlformats.org/spreadsheetml/2006/main" count="1703" uniqueCount="146">
  <si>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</si>
  <si>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</si>
  <si>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</si>
  <si>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</si>
  <si>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</si>
  <si>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</si>
  <si>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</si>
  <si>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</si>
  <si>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</si>
  <si>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</si>
  <si>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</si>
  <si>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</si>
  <si>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</si>
  <si>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</si>
  <si>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Australia and Oceania</t>
  </si>
  <si>
    <t>Tuvalu</t>
  </si>
  <si>
    <t>Baby Food</t>
  </si>
  <si>
    <t>Offline</t>
  </si>
  <si>
    <t>H</t>
  </si>
  <si>
    <t>Central America and the Caribbean</t>
  </si>
  <si>
    <t>Grenada</t>
  </si>
  <si>
    <t>Cereal</t>
  </si>
  <si>
    <t>Online</t>
  </si>
  <si>
    <t>C</t>
  </si>
  <si>
    <t>Europe</t>
  </si>
  <si>
    <t>Russia</t>
  </si>
  <si>
    <t>Office Supplies</t>
  </si>
  <si>
    <t>L</t>
  </si>
  <si>
    <t>Sub-Saharan Africa</t>
  </si>
  <si>
    <t>Sao Tome and Principe</t>
  </si>
  <si>
    <t>Fruits</t>
  </si>
  <si>
    <t>Rwanda</t>
  </si>
  <si>
    <t>Solomon Islands</t>
  </si>
  <si>
    <t>Angola</t>
  </si>
  <si>
    <t>Household</t>
  </si>
  <si>
    <t>M</t>
  </si>
  <si>
    <t>Burkina Faso</t>
  </si>
  <si>
    <t>Vegetables</t>
  </si>
  <si>
    <t>Republic of the Congo</t>
  </si>
  <si>
    <t>Personal Care</t>
  </si>
  <si>
    <t>Senegal</t>
  </si>
  <si>
    <t>Asia</t>
  </si>
  <si>
    <t>Kyrgyzstan</t>
  </si>
  <si>
    <t>Cape Verde</t>
  </si>
  <si>
    <t>Clothes</t>
  </si>
  <si>
    <t>Bangladesh</t>
  </si>
  <si>
    <t>Honduras</t>
  </si>
  <si>
    <t>Mongolia</t>
  </si>
  <si>
    <t>Bulgaria</t>
  </si>
  <si>
    <t>Sri Lanka</t>
  </si>
  <si>
    <t>Cosmetics</t>
  </si>
  <si>
    <t>Cameroon</t>
  </si>
  <si>
    <t>Beverages</t>
  </si>
  <si>
    <t>Turkmenistan</t>
  </si>
  <si>
    <t>East Timor</t>
  </si>
  <si>
    <t>Meat</t>
  </si>
  <si>
    <t>Norway</t>
  </si>
  <si>
    <t>Portugal</t>
  </si>
  <si>
    <t>Snacks</t>
  </si>
  <si>
    <t>New Zealand</t>
  </si>
  <si>
    <t xml:space="preserve">Moldova </t>
  </si>
  <si>
    <t>France</t>
  </si>
  <si>
    <t>Kiribati</t>
  </si>
  <si>
    <t>Mali</t>
  </si>
  <si>
    <t>The Gambia</t>
  </si>
  <si>
    <t>Switzerland</t>
  </si>
  <si>
    <t>South Sudan</t>
  </si>
  <si>
    <t>Australia</t>
  </si>
  <si>
    <t>Myanmar</t>
  </si>
  <si>
    <t>Djibouti</t>
  </si>
  <si>
    <t>Costa Rica</t>
  </si>
  <si>
    <t>Middle East and North Africa</t>
  </si>
  <si>
    <t>Syria</t>
  </si>
  <si>
    <t>Brunei</t>
  </si>
  <si>
    <t>Niger</t>
  </si>
  <si>
    <t>Azerbaijan</t>
  </si>
  <si>
    <t>Slovakia</t>
  </si>
  <si>
    <t>Comoros</t>
  </si>
  <si>
    <t>Iceland</t>
  </si>
  <si>
    <t>Macedonia</t>
  </si>
  <si>
    <t>Mauritania</t>
  </si>
  <si>
    <t>Albania</t>
  </si>
  <si>
    <t>Lesotho</t>
  </si>
  <si>
    <t>Saudi Arabia</t>
  </si>
  <si>
    <t>Sierra Leone</t>
  </si>
  <si>
    <t>Cote d'Ivoire</t>
  </si>
  <si>
    <t>Fiji</t>
  </si>
  <si>
    <t>Austria</t>
  </si>
  <si>
    <t>United Kingdom</t>
  </si>
  <si>
    <t>San Marino</t>
  </si>
  <si>
    <t>Libya</t>
  </si>
  <si>
    <t>Haiti</t>
  </si>
  <si>
    <t>Gabon</t>
  </si>
  <si>
    <t>Belize</t>
  </si>
  <si>
    <t>Lithuania</t>
  </si>
  <si>
    <t>Madagascar</t>
  </si>
  <si>
    <t>Democratic Republic of the Congo</t>
  </si>
  <si>
    <t>Pakistan</t>
  </si>
  <si>
    <t>North America</t>
  </si>
  <si>
    <t>Mexico</t>
  </si>
  <si>
    <t>Federated States of Micronesia</t>
  </si>
  <si>
    <t>Laos</t>
  </si>
  <si>
    <t>Monaco</t>
  </si>
  <si>
    <t xml:space="preserve">Samoa </t>
  </si>
  <si>
    <t>Spain</t>
  </si>
  <si>
    <t>Lebanon</t>
  </si>
  <si>
    <t>Iran</t>
  </si>
  <si>
    <t>Zambia</t>
  </si>
  <si>
    <t>Kenya</t>
  </si>
  <si>
    <t>Kuwait</t>
  </si>
  <si>
    <t>Slovenia</t>
  </si>
  <si>
    <t>Romania</t>
  </si>
  <si>
    <t>Nicaragua</t>
  </si>
  <si>
    <t>Malaysia</t>
  </si>
  <si>
    <t>Mozambique</t>
  </si>
  <si>
    <t>Year</t>
  </si>
  <si>
    <t>Unit Price (£)</t>
  </si>
  <si>
    <t>Unit Cost (£)</t>
  </si>
  <si>
    <t>Total Revenue (£)</t>
  </si>
  <si>
    <t>Total Cost (£)</t>
  </si>
  <si>
    <t>Total Profit (£)</t>
  </si>
  <si>
    <t>Regions</t>
  </si>
  <si>
    <t>Total profit (£)</t>
  </si>
  <si>
    <t>Revenue (£)</t>
  </si>
  <si>
    <t>Total</t>
  </si>
  <si>
    <t>Rate (%)</t>
  </si>
  <si>
    <t>Rank</t>
  </si>
  <si>
    <t>YoY Growth Rate (%)</t>
  </si>
  <si>
    <t>Average Profit £)</t>
  </si>
  <si>
    <t>5. Gross Profit Margin Per Item Type</t>
  </si>
  <si>
    <t>2. Total Revenue Per Year</t>
  </si>
  <si>
    <t>1. Total Profit Per Region</t>
  </si>
  <si>
    <t>3. Year-on-Year Comparison of Quantity Sold Per Item Type</t>
  </si>
  <si>
    <t>4. Rate of Total Revenue Earned Per Region</t>
  </si>
  <si>
    <t>Profit Margin (%)</t>
  </si>
  <si>
    <r>
      <t>Item Types\</t>
    </r>
    <r>
      <rPr>
        <b/>
        <sz val="11"/>
        <color rgb="FF0070C0"/>
        <rFont val="Calibri"/>
        <family val="2"/>
        <scheme val="minor"/>
      </rPr>
      <t>Year</t>
    </r>
  </si>
  <si>
    <t>6. Average Profit Per Year</t>
  </si>
  <si>
    <t>7. Countries with Highest and Lowest Revenue</t>
  </si>
  <si>
    <t>(a) Top 4 Countries with Highest Revenue</t>
  </si>
  <si>
    <t>(b) Top 4 Countries with Lowest Revenue</t>
  </si>
  <si>
    <t>8. Year-on-Year Revenue Growth Rate</t>
  </si>
  <si>
    <t>Grand Total</t>
  </si>
  <si>
    <t>SYLIP CORPORATION</t>
  </si>
  <si>
    <t>Summary Charts</t>
  </si>
  <si>
    <t>Gross Margin</t>
  </si>
  <si>
    <t>SCO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</si>
</sst>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409]m/d/yy\ h:mm\ AM/PM;@"/>
    <numFmt numFmtId="165" formatCode="dd/mm/yyyy;@"/>
    <numFmt numFmtId="166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4"/>
      <name val="Calibri"/>
      <family val="2"/>
    </font>
    <font>
      <sz val="11"/>
      <color indexed="52"/>
      <name val="Calibri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1"/>
      <color indexed="54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3"/>
      <color indexed="54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6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7030A0"/>
      <name val="Arial"/>
      <family val="2"/>
    </font>
    <font>
      <sz val="14"/>
      <color rgb="FF7030A0"/>
      <name val="Agency FB"/>
      <family val="2"/>
    </font>
  </fonts>
  <fills count="26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6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164" fontId="0" fillId="0" borderId="0"/>
    <xf numFmtId="164" fontId="7" fillId="2" borderId="0" applyNumberFormat="0" applyBorder="0" applyAlignment="0" applyProtection="0"/>
    <xf numFmtId="164" fontId="7" fillId="3" borderId="0" applyNumberFormat="0" applyBorder="0" applyAlignment="0" applyProtection="0"/>
    <xf numFmtId="164" fontId="7" fillId="4" borderId="0" applyNumberFormat="0" applyBorder="0" applyAlignment="0" applyProtection="0"/>
    <xf numFmtId="164" fontId="7" fillId="14" borderId="0" applyNumberFormat="0" applyBorder="0" applyAlignment="0" applyProtection="0"/>
    <xf numFmtId="164" fontId="7" fillId="5" borderId="0" applyNumberFormat="0" applyBorder="0" applyAlignment="0" applyProtection="0"/>
    <xf numFmtId="164" fontId="7" fillId="6" borderId="0" applyNumberFormat="0" applyBorder="0" applyAlignment="0" applyProtection="0"/>
    <xf numFmtId="164" fontId="7" fillId="15" borderId="0" applyNumberFormat="0" applyBorder="0" applyAlignment="0" applyProtection="0"/>
    <xf numFmtId="164" fontId="7" fillId="3" borderId="0" applyNumberFormat="0" applyBorder="0" applyAlignment="0" applyProtection="0"/>
    <xf numFmtId="164" fontId="7" fillId="3" borderId="0" applyNumberFormat="0" applyBorder="0" applyAlignment="0" applyProtection="0"/>
    <xf numFmtId="164" fontId="7" fillId="16" borderId="0" applyNumberFormat="0" applyBorder="0" applyAlignment="0" applyProtection="0"/>
    <xf numFmtId="164" fontId="7" fillId="17" borderId="0" applyNumberFormat="0" applyBorder="0" applyAlignment="0" applyProtection="0"/>
    <xf numFmtId="164" fontId="7" fillId="7" borderId="0" applyNumberFormat="0" applyBorder="0" applyAlignment="0" applyProtection="0"/>
    <xf numFmtId="164" fontId="8" fillId="8" borderId="0" applyNumberFormat="0" applyBorder="0" applyAlignment="0" applyProtection="0"/>
    <xf numFmtId="164" fontId="8" fillId="3" borderId="0" applyNumberFormat="0" applyBorder="0" applyAlignment="0" applyProtection="0"/>
    <xf numFmtId="164" fontId="8" fillId="18" borderId="0" applyNumberFormat="0" applyBorder="0" applyAlignment="0" applyProtection="0"/>
    <xf numFmtId="164" fontId="8" fillId="19" borderId="0" applyNumberFormat="0" applyBorder="0" applyAlignment="0" applyProtection="0"/>
    <xf numFmtId="164" fontId="8" fillId="8" borderId="0" applyNumberFormat="0" applyBorder="0" applyAlignment="0" applyProtection="0"/>
    <xf numFmtId="164" fontId="8" fillId="9" borderId="0" applyNumberFormat="0" applyBorder="0" applyAlignment="0" applyProtection="0"/>
    <xf numFmtId="164" fontId="8" fillId="10" borderId="0" applyNumberFormat="0" applyBorder="0" applyAlignment="0" applyProtection="0"/>
    <xf numFmtId="164" fontId="8" fillId="11" borderId="0" applyNumberFormat="0" applyBorder="0" applyAlignment="0" applyProtection="0"/>
    <xf numFmtId="164" fontId="8" fillId="20" borderId="0" applyNumberFormat="0" applyBorder="0" applyAlignment="0" applyProtection="0"/>
    <xf numFmtId="164" fontId="8" fillId="12" borderId="0" applyNumberFormat="0" applyBorder="0" applyAlignment="0" applyProtection="0"/>
    <xf numFmtId="164" fontId="8" fillId="10" borderId="0" applyNumberFormat="0" applyBorder="0" applyAlignment="0" applyProtection="0"/>
    <xf numFmtId="164" fontId="8" fillId="9" borderId="0" applyNumberFormat="0" applyBorder="0" applyAlignment="0" applyProtection="0"/>
    <xf numFmtId="164" fontId="9" fillId="13" borderId="0" applyNumberFormat="0" applyBorder="0" applyAlignment="0" applyProtection="0"/>
    <xf numFmtId="164" fontId="10" fillId="3" borderId="5" applyNumberFormat="0" applyAlignment="0" applyProtection="0"/>
    <xf numFmtId="164" fontId="11" fillId="21" borderId="6" applyNumberFormat="0" applyAlignment="0" applyProtection="0"/>
    <xf numFmtId="164" fontId="12" fillId="0" borderId="0" applyNumberFormat="0" applyFill="0" applyBorder="0" applyAlignment="0" applyProtection="0"/>
    <xf numFmtId="164" fontId="13" fillId="6" borderId="0" applyNumberFormat="0" applyBorder="0" applyAlignment="0" applyProtection="0"/>
    <xf numFmtId="164" fontId="5" fillId="0" borderId="1" applyNumberFormat="0" applyFill="0" applyAlignment="0" applyProtection="0"/>
    <xf numFmtId="164" fontId="14" fillId="0" borderId="7" applyNumberFormat="0" applyFill="0" applyAlignment="0" applyProtection="0"/>
    <xf numFmtId="164" fontId="6" fillId="0" borderId="2" applyNumberFormat="0" applyFill="0" applyAlignment="0" applyProtection="0"/>
    <xf numFmtId="164" fontId="2" fillId="0" borderId="0" applyNumberFormat="0" applyFill="0" applyBorder="0" applyAlignment="0" applyProtection="0"/>
    <xf numFmtId="164" fontId="15" fillId="3" borderId="5" applyNumberFormat="0" applyAlignment="0" applyProtection="0"/>
    <xf numFmtId="164" fontId="3" fillId="0" borderId="3" applyNumberFormat="0" applyFill="0" applyAlignment="0" applyProtection="0"/>
    <xf numFmtId="164" fontId="16" fillId="22" borderId="0" applyNumberFormat="0" applyBorder="0" applyAlignment="0" applyProtection="0"/>
    <xf numFmtId="164" fontId="1" fillId="23" borderId="8" applyNumberFormat="0" applyFont="0" applyAlignment="0" applyProtection="0"/>
    <xf numFmtId="164" fontId="17" fillId="3" borderId="9" applyNumberFormat="0" applyAlignment="0" applyProtection="0"/>
    <xf numFmtId="164" fontId="4" fillId="0" borderId="0" applyNumberFormat="0" applyFill="0" applyBorder="0" applyAlignment="0" applyProtection="0"/>
    <xf numFmtId="164" fontId="18" fillId="0" borderId="4" applyNumberFormat="0" applyFill="0" applyAlignment="0" applyProtection="0"/>
    <xf numFmtId="164" fontId="19" fillId="0" borderId="0" applyNumberForma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44">
    <xf numFmtId="164" fontId="0" fillId="0" borderId="0" xfId="0"/>
    <xf numFmtId="0" fontId="0" fillId="0" borderId="0" xfId="0" applyNumberFormat="1"/>
    <xf numFmtId="165" fontId="0" fillId="0" borderId="0" xfId="0" applyNumberFormat="1"/>
    <xf numFmtId="49" fontId="0" fillId="0" borderId="0" xfId="0" applyNumberFormat="1"/>
    <xf numFmtId="43" fontId="0" fillId="0" borderId="0" xfId="42" applyFont="1"/>
    <xf numFmtId="166" fontId="0" fillId="0" borderId="0" xfId="42" applyNumberFormat="1" applyFont="1"/>
    <xf numFmtId="164" fontId="0" fillId="0" borderId="10" xfId="0" applyBorder="1"/>
    <xf numFmtId="165" fontId="0" fillId="0" borderId="10" xfId="0" applyNumberFormat="1" applyBorder="1"/>
    <xf numFmtId="49" fontId="0" fillId="0" borderId="10" xfId="0" applyNumberFormat="1" applyBorder="1"/>
    <xf numFmtId="0" fontId="0" fillId="0" borderId="10" xfId="0" applyNumberFormat="1" applyBorder="1"/>
    <xf numFmtId="166" fontId="0" fillId="0" borderId="10" xfId="42" applyNumberFormat="1" applyFont="1" applyBorder="1"/>
    <xf numFmtId="43" fontId="0" fillId="0" borderId="10" xfId="42" applyFont="1" applyBorder="1"/>
    <xf numFmtId="164" fontId="18" fillId="0" borderId="10" xfId="0" applyFont="1" applyBorder="1"/>
    <xf numFmtId="165" fontId="18" fillId="0" borderId="10" xfId="0" applyNumberFormat="1" applyFont="1" applyBorder="1"/>
    <xf numFmtId="49" fontId="18" fillId="0" borderId="10" xfId="0" applyNumberFormat="1" applyFont="1" applyBorder="1"/>
    <xf numFmtId="0" fontId="18" fillId="0" borderId="10" xfId="0" applyNumberFormat="1" applyFont="1" applyBorder="1"/>
    <xf numFmtId="166" fontId="18" fillId="0" borderId="10" xfId="42" applyNumberFormat="1" applyFont="1" applyBorder="1"/>
    <xf numFmtId="43" fontId="18" fillId="0" borderId="10" xfId="42" applyFont="1" applyBorder="1"/>
    <xf numFmtId="43" fontId="0" fillId="0" borderId="10" xfId="42" applyFont="1" applyBorder="1" applyAlignment="1">
      <alignment horizontal="right"/>
    </xf>
    <xf numFmtId="164" fontId="18" fillId="0" borderId="10" xfId="0" applyFont="1" applyBorder="1" applyAlignment="1">
      <alignment horizontal="right"/>
    </xf>
    <xf numFmtId="49" fontId="21" fillId="0" borderId="10" xfId="0" applyNumberFormat="1" applyFont="1" applyBorder="1" applyAlignment="1">
      <alignment horizontal="right"/>
    </xf>
    <xf numFmtId="166" fontId="0" fillId="0" borderId="11" xfId="42" applyNumberFormat="1" applyFont="1" applyBorder="1"/>
    <xf numFmtId="164" fontId="20" fillId="0" borderId="10" xfId="0" applyFont="1" applyBorder="1" applyAlignment="1">
      <alignment horizontal="left"/>
    </xf>
    <xf numFmtId="2" fontId="0" fillId="0" borderId="10" xfId="0" applyNumberFormat="1" applyBorder="1"/>
    <xf numFmtId="2" fontId="18" fillId="0" borderId="10" xfId="0" applyNumberFormat="1" applyFont="1" applyBorder="1"/>
    <xf numFmtId="164" fontId="22" fillId="0" borderId="10" xfId="0" applyFont="1" applyBorder="1"/>
    <xf numFmtId="0" fontId="0" fillId="0" borderId="10" xfId="0" applyNumberFormat="1" applyBorder="1" applyAlignment="1">
      <alignment horizontal="left"/>
    </xf>
    <xf numFmtId="43" fontId="18" fillId="0" borderId="10" xfId="42" applyFont="1" applyBorder="1" applyAlignment="1">
      <alignment horizontal="right"/>
    </xf>
    <xf numFmtId="0" fontId="18" fillId="0" borderId="10" xfId="0" applyNumberFormat="1" applyFont="1" applyBorder="1" applyAlignment="1">
      <alignment horizontal="left"/>
    </xf>
    <xf numFmtId="43" fontId="18" fillId="0" borderId="10" xfId="42" applyFont="1" applyFill="1" applyBorder="1" applyAlignment="1">
      <alignment horizontal="right"/>
    </xf>
    <xf numFmtId="164" fontId="22" fillId="0" borderId="11" xfId="0" applyFont="1" applyBorder="1"/>
    <xf numFmtId="1" fontId="0" fillId="0" borderId="10" xfId="42" applyNumberFormat="1" applyFont="1" applyBorder="1"/>
    <xf numFmtId="1" fontId="18" fillId="0" borderId="10" xfId="42" applyNumberFormat="1" applyFont="1" applyBorder="1"/>
    <xf numFmtId="43" fontId="18" fillId="0" borderId="10" xfId="42" applyFont="1" applyFill="1" applyBorder="1"/>
    <xf numFmtId="164" fontId="21" fillId="0" borderId="10" xfId="0" applyFont="1" applyBorder="1" applyAlignment="1">
      <alignment horizontal="right"/>
    </xf>
    <xf numFmtId="164" fontId="18" fillId="0" borderId="0" xfId="0" applyFont="1"/>
    <xf numFmtId="43" fontId="18" fillId="0" borderId="12" xfId="42" applyFont="1" applyFill="1" applyBorder="1"/>
    <xf numFmtId="9" fontId="0" fillId="0" borderId="10" xfId="43" applyFont="1" applyBorder="1"/>
    <xf numFmtId="49" fontId="18" fillId="0" borderId="10" xfId="0" applyNumberFormat="1" applyFont="1" applyBorder="1" applyAlignment="1">
      <alignment horizontal="left"/>
    </xf>
    <xf numFmtId="164" fontId="18" fillId="0" borderId="10" xfId="0" applyFont="1" applyBorder="1" applyAlignment="1">
      <alignment horizontal="left"/>
    </xf>
    <xf numFmtId="164" fontId="20" fillId="0" borderId="10" xfId="0" applyFont="1" applyBorder="1" applyAlignment="1">
      <alignment horizontal="left"/>
    </xf>
    <xf numFmtId="164" fontId="23" fillId="25" borderId="0" xfId="0" applyFont="1" applyFill="1" applyBorder="1" applyAlignment="1">
      <alignment vertical="center"/>
    </xf>
    <xf numFmtId="164" fontId="0" fillId="0" borderId="0" xfId="0" applyBorder="1"/>
    <xf numFmtId="164" fontId="24" fillId="24" borderId="0" xfId="0" applyFont="1" applyFill="1" applyAlignment="1">
      <alignment horizontal="center" vertical="center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2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43" builtinId="5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  <a:latin typeface="+mn-lt"/>
              </a:rPr>
              <a:t>Total Profit</a:t>
            </a:r>
            <a:r>
              <a:rPr lang="en-US" sz="1200" b="1" baseline="0">
                <a:solidFill>
                  <a:sysClr val="windowText" lastClr="000000"/>
                </a:solidFill>
                <a:latin typeface="+mn-lt"/>
              </a:rPr>
              <a:t> Per Region</a:t>
            </a:r>
            <a:r>
              <a:rPr lang="en-US" sz="1200" b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189841525933979"/>
          <c:y val="0.15766666666666668"/>
          <c:w val="0.6854364028549883"/>
          <c:h val="0.415658792650918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Tables_Charts!$T$5</c:f>
              <c:strCache>
                <c:ptCount val="1"/>
                <c:pt idx="0">
                  <c:v>Total profit (£)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Tables_Charts!$S$6:$S$12</c:f>
              <c:strCache>
                <c:ptCount val="7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</c:strCache>
            </c:strRef>
          </c:cat>
          <c:val>
            <c:numRef>
              <c:f>Tables_Charts!$T$6:$T$12</c:f>
              <c:numCache>
                <c:formatCode>_(* #,##0.00_);_(* \(#,##0.00\);_(* "-"??_);_(@_)</c:formatCode>
                <c:ptCount val="7"/>
                <c:pt idx="0">
                  <c:v>6113845.8700000001</c:v>
                </c:pt>
                <c:pt idx="1">
                  <c:v>4722160.03</c:v>
                </c:pt>
                <c:pt idx="2">
                  <c:v>2846907.85</c:v>
                </c:pt>
                <c:pt idx="3">
                  <c:v>11082938.629999999</c:v>
                </c:pt>
                <c:pt idx="4">
                  <c:v>5761191.8599999994</c:v>
                </c:pt>
                <c:pt idx="5">
                  <c:v>1457942.76</c:v>
                </c:pt>
                <c:pt idx="6">
                  <c:v>12183211.400000004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15-4093-9BFC-E85F89EFB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9702319"/>
        <c:axId val="1399717679"/>
      </c:barChart>
      <c:catAx>
        <c:axId val="1399702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>
                    <a:solidFill>
                      <a:sysClr val="windowText" lastClr="000000"/>
                    </a:solidFill>
                  </a:rPr>
                  <a:t>Regions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717679"/>
        <c:crosses val="autoZero"/>
        <c:auto val="1"/>
        <c:lblAlgn val="ctr"/>
        <c:lblOffset val="100"/>
        <c:noMultiLvlLbl val="0"/>
      </c:catAx>
      <c:valAx>
        <c:axId val="139971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>
                    <a:solidFill>
                      <a:sysClr val="windowText" lastClr="000000"/>
                    </a:solidFill>
                  </a:rPr>
                  <a:t>Total</a:t>
                </a:r>
                <a:r>
                  <a:rPr lang="en-GB" sz="1200" b="1" baseline="0">
                    <a:solidFill>
                      <a:sysClr val="windowText" lastClr="000000"/>
                    </a:solidFill>
                  </a:rPr>
                  <a:t> Profit (£)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702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j-ea"/>
                <a:cs typeface="+mj-cs"/>
              </a:defRPr>
            </a:pPr>
            <a:r>
              <a:rPr lang="en-GB" sz="1200">
                <a:solidFill>
                  <a:sysClr val="windowText" lastClr="000000"/>
                </a:solidFill>
                <a:latin typeface="+mn-lt"/>
              </a:rPr>
              <a:t>Total Revenue Per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0" normalizeH="0" baseline="0">
              <a:solidFill>
                <a:sysClr val="windowText" lastClr="000000"/>
              </a:solidFill>
              <a:latin typeface="+mn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Tables_Charts!$S$17:$S$24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Tables_Charts!$T$17:$T$24</c:f>
              <c:numCache>
                <c:formatCode>_(* #,##0.00_);_(* \(#,##0.00\);_(* "-"??_);_(@_)</c:formatCode>
                <c:ptCount val="8"/>
                <c:pt idx="0">
                  <c:v>19186024.920000002</c:v>
                </c:pt>
                <c:pt idx="1">
                  <c:v>11129166.07</c:v>
                </c:pt>
                <c:pt idx="2">
                  <c:v>31898644.52</c:v>
                </c:pt>
                <c:pt idx="3">
                  <c:v>20330448.66</c:v>
                </c:pt>
                <c:pt idx="4">
                  <c:v>16630214.430000002</c:v>
                </c:pt>
                <c:pt idx="5">
                  <c:v>12427982.860000001</c:v>
                </c:pt>
                <c:pt idx="6">
                  <c:v>12372867.219999999</c:v>
                </c:pt>
                <c:pt idx="7">
                  <c:v>13373419.629999999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6C-4B04-B863-A23968796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399717199"/>
        <c:axId val="1399702799"/>
      </c:barChart>
      <c:catAx>
        <c:axId val="1399717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702799"/>
        <c:crosses val="autoZero"/>
        <c:auto val="1"/>
        <c:lblAlgn val="ctr"/>
        <c:lblOffset val="100"/>
        <c:noMultiLvlLbl val="0"/>
      </c:catAx>
      <c:valAx>
        <c:axId val="139970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Revenue (£)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71719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j-ea"/>
                <a:cs typeface="+mj-cs"/>
              </a:defRPr>
            </a:pPr>
            <a:r>
              <a:rPr lang="en-GB" sz="1600">
                <a:solidFill>
                  <a:sysClr val="windowText" lastClr="000000"/>
                </a:solidFill>
                <a:latin typeface="+mn-lt"/>
              </a:rPr>
              <a:t>Year-on-Year Sales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ysClr val="windowText" lastClr="000000"/>
              </a:solidFill>
              <a:latin typeface="+mn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Tables_Charts!$S$29</c:f>
              <c:strCache>
                <c:ptCount val="1"/>
                <c:pt idx="0">
                  <c:v>Baby 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Tables_Charts!$T$29:$AA$29</c:f>
              <c:numCache>
                <c:formatCode>_-* #,##0_-;\-* #,##0_-;_-* "-"??_-;_-@_-</c:formatCode>
                <c:ptCount val="8"/>
                <c:pt idx="0">
                  <c:v>9925</c:v>
                </c:pt>
                <c:pt idx="1">
                  <c:v>0</c:v>
                </c:pt>
                <c:pt idx="2">
                  <c:v>8614</c:v>
                </c:pt>
                <c:pt idx="3">
                  <c:v>4750</c:v>
                </c:pt>
                <c:pt idx="4">
                  <c:v>13009</c:v>
                </c:pt>
                <c:pt idx="5">
                  <c:v>4247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1-4A1C-8FC1-40EF13431628}"/>
            </c:ext>
          </c:extLst>
        </c:ser>
        <c:ser>
          <c:idx val="1"/>
          <c:order val="1"/>
          <c:tx>
            <c:strRef>
              <c:f>Tables_Charts!$S$30</c:f>
              <c:strCache>
                <c:ptCount val="1"/>
                <c:pt idx="0">
                  <c:v>Cereal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Tables_Charts!$T$30:$AA$30</c:f>
              <c:numCache>
                <c:formatCode>_-* #,##0_-;\-* #,##0_-;_-* "-"??_-;_-@_-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4921</c:v>
                </c:pt>
                <c:pt idx="3">
                  <c:v>4745</c:v>
                </c:pt>
                <c:pt idx="4">
                  <c:v>6593</c:v>
                </c:pt>
                <c:pt idx="5">
                  <c:v>0</c:v>
                </c:pt>
                <c:pt idx="6">
                  <c:v>962</c:v>
                </c:pt>
                <c:pt idx="7">
                  <c:v>8656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E1-4A1C-8FC1-40EF13431628}"/>
            </c:ext>
          </c:extLst>
        </c:ser>
        <c:ser>
          <c:idx val="2"/>
          <c:order val="2"/>
          <c:tx>
            <c:strRef>
              <c:f>Tables_Charts!$S$31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Tables_Charts!$T$31:$AA$31</c:f>
              <c:numCache>
                <c:formatCode>_-* #,##0_-;\-* #,##0_-;_-* "-"??_-;_-@_-</c:formatCode>
                <c:ptCount val="8"/>
                <c:pt idx="0">
                  <c:v>8287</c:v>
                </c:pt>
                <c:pt idx="1">
                  <c:v>8975</c:v>
                </c:pt>
                <c:pt idx="2">
                  <c:v>13982</c:v>
                </c:pt>
                <c:pt idx="3">
                  <c:v>10072</c:v>
                </c:pt>
                <c:pt idx="4">
                  <c:v>1779</c:v>
                </c:pt>
                <c:pt idx="5">
                  <c:v>2924</c:v>
                </c:pt>
                <c:pt idx="6">
                  <c:v>948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E1-4A1C-8FC1-40EF13431628}"/>
            </c:ext>
          </c:extLst>
        </c:ser>
        <c:ser>
          <c:idx val="3"/>
          <c:order val="3"/>
          <c:tx>
            <c:strRef>
              <c:f>Tables_Charts!$S$32</c:f>
              <c:strCache>
                <c:ptCount val="1"/>
                <c:pt idx="0">
                  <c:v>Fruits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Tables_Charts!$T$32:$AA$32</c:f>
              <c:numCache>
                <c:formatCode>_-* #,##0_-;\-* #,##0_-;_-* "-"??_-;_-@_-</c:formatCode>
                <c:ptCount val="8"/>
                <c:pt idx="0">
                  <c:v>5822</c:v>
                </c:pt>
                <c:pt idx="1">
                  <c:v>10051</c:v>
                </c:pt>
                <c:pt idx="2">
                  <c:v>522</c:v>
                </c:pt>
                <c:pt idx="3">
                  <c:v>17243</c:v>
                </c:pt>
                <c:pt idx="4">
                  <c:v>15687</c:v>
                </c:pt>
                <c:pt idx="5">
                  <c:v>673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E1-4A1C-8FC1-40EF13431628}"/>
            </c:ext>
          </c:extLst>
        </c:ser>
        <c:ser>
          <c:idx val="4"/>
          <c:order val="4"/>
          <c:tx>
            <c:strRef>
              <c:f>Tables_Charts!$S$33</c:f>
              <c:strCache>
                <c:ptCount val="1"/>
                <c:pt idx="0">
                  <c:v>Household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Tables_Charts!$T$33:$AA$33</c:f>
              <c:numCache>
                <c:formatCode>_-* #,##0_-;\-* #,##0_-;_-* "-"??_-;_-@_-</c:formatCode>
                <c:ptCount val="8"/>
                <c:pt idx="0">
                  <c:v>3830</c:v>
                </c:pt>
                <c:pt idx="1">
                  <c:v>4187</c:v>
                </c:pt>
                <c:pt idx="2">
                  <c:v>12532</c:v>
                </c:pt>
                <c:pt idx="3">
                  <c:v>0</c:v>
                </c:pt>
                <c:pt idx="4">
                  <c:v>6954</c:v>
                </c:pt>
                <c:pt idx="5">
                  <c:v>8250</c:v>
                </c:pt>
                <c:pt idx="6">
                  <c:v>0</c:v>
                </c:pt>
                <c:pt idx="7">
                  <c:v>8974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E1-4A1C-8FC1-40EF13431628}"/>
            </c:ext>
          </c:extLst>
        </c:ser>
        <c:ser>
          <c:idx val="5"/>
          <c:order val="5"/>
          <c:tx>
            <c:strRef>
              <c:f>Tables_Charts!$S$34</c:f>
              <c:strCache>
                <c:ptCount val="1"/>
                <c:pt idx="0">
                  <c:v>Vegetables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Tables_Charts!$T$34:$AA$34</c:f>
              <c:numCache>
                <c:formatCode>_-* #,##0_-;\-* #,##0_-;_-* "-"??_-;_-@_-</c:formatCode>
                <c:ptCount val="8"/>
                <c:pt idx="0">
                  <c:v>0</c:v>
                </c:pt>
                <c:pt idx="1">
                  <c:v>3856</c:v>
                </c:pt>
                <c:pt idx="2">
                  <c:v>14710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1485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4E1-4A1C-8FC1-40EF13431628}"/>
            </c:ext>
          </c:extLst>
        </c:ser>
        <c:ser>
          <c:idx val="6"/>
          <c:order val="6"/>
          <c:tx>
            <c:strRef>
              <c:f>Tables_Charts!$S$35</c:f>
              <c:strCache>
                <c:ptCount val="1"/>
                <c:pt idx="0">
                  <c:v>Personal Care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Tables_Charts!$T$35:$AA$35</c:f>
              <c:numCache>
                <c:formatCode>_-* #,##0_-;\-* #,##0_-;_-* "-"??_-;_-@_-</c:formatCode>
                <c:ptCount val="8"/>
                <c:pt idx="0">
                  <c:v>273</c:v>
                </c:pt>
                <c:pt idx="1">
                  <c:v>0</c:v>
                </c:pt>
                <c:pt idx="2">
                  <c:v>15078</c:v>
                </c:pt>
                <c:pt idx="3">
                  <c:v>2125</c:v>
                </c:pt>
                <c:pt idx="4">
                  <c:v>4901</c:v>
                </c:pt>
                <c:pt idx="5">
                  <c:v>11837</c:v>
                </c:pt>
                <c:pt idx="6">
                  <c:v>5070</c:v>
                </c:pt>
                <c:pt idx="7">
                  <c:v>9424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E1-4A1C-8FC1-40EF13431628}"/>
            </c:ext>
          </c:extLst>
        </c:ser>
        <c:ser>
          <c:idx val="7"/>
          <c:order val="7"/>
          <c:tx>
            <c:strRef>
              <c:f>Tables_Charts!$S$36</c:f>
              <c:strCache>
                <c:ptCount val="1"/>
                <c:pt idx="0">
                  <c:v>Clothes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Tables_Charts!$T$36:$AA$36</c:f>
              <c:numCache>
                <c:formatCode>_-* #,##0_-;\-* #,##0_-;_-* "-"??_-;_-@_-</c:formatCode>
                <c:ptCount val="8"/>
                <c:pt idx="0">
                  <c:v>18290</c:v>
                </c:pt>
                <c:pt idx="1">
                  <c:v>888</c:v>
                </c:pt>
                <c:pt idx="2">
                  <c:v>13039</c:v>
                </c:pt>
                <c:pt idx="3">
                  <c:v>0</c:v>
                </c:pt>
                <c:pt idx="4">
                  <c:v>12010</c:v>
                </c:pt>
                <c:pt idx="5">
                  <c:v>13272</c:v>
                </c:pt>
                <c:pt idx="6">
                  <c:v>5498</c:v>
                </c:pt>
                <c:pt idx="7">
                  <c:v>8263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4E1-4A1C-8FC1-40EF13431628}"/>
            </c:ext>
          </c:extLst>
        </c:ser>
        <c:ser>
          <c:idx val="8"/>
          <c:order val="8"/>
          <c:tx>
            <c:strRef>
              <c:f>Tables_Charts!$S$37</c:f>
              <c:strCache>
                <c:ptCount val="1"/>
                <c:pt idx="0">
                  <c:v>Cosmetics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Tables_Charts!$T$37:$AA$37</c:f>
              <c:numCache>
                <c:formatCode>_-* #,##0_-;\-* #,##0_-;_-* "-"??_-;_-@_-</c:formatCode>
                <c:ptCount val="8"/>
                <c:pt idx="0">
                  <c:v>15144</c:v>
                </c:pt>
                <c:pt idx="1">
                  <c:v>0</c:v>
                </c:pt>
                <c:pt idx="2">
                  <c:v>8661</c:v>
                </c:pt>
                <c:pt idx="3">
                  <c:v>25728</c:v>
                </c:pt>
                <c:pt idx="4">
                  <c:v>7215</c:v>
                </c:pt>
                <c:pt idx="5">
                  <c:v>2847</c:v>
                </c:pt>
                <c:pt idx="6">
                  <c:v>22308</c:v>
                </c:pt>
                <c:pt idx="7">
                  <c:v>1815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4E1-4A1C-8FC1-40EF13431628}"/>
            </c:ext>
          </c:extLst>
        </c:ser>
        <c:ser>
          <c:idx val="9"/>
          <c:order val="9"/>
          <c:tx>
            <c:strRef>
              <c:f>Tables_Charts!$S$38</c:f>
              <c:strCache>
                <c:ptCount val="1"/>
                <c:pt idx="0">
                  <c:v>Beverages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Tables_Charts!$T$38:$AA$38</c:f>
              <c:numCache>
                <c:formatCode>_-* #,##0_-;\-* #,##0_-;_-* "-"??_-;_-@_-</c:formatCode>
                <c:ptCount val="8"/>
                <c:pt idx="0">
                  <c:v>0</c:v>
                </c:pt>
                <c:pt idx="1">
                  <c:v>22726</c:v>
                </c:pt>
                <c:pt idx="2">
                  <c:v>0</c:v>
                </c:pt>
                <c:pt idx="3">
                  <c:v>0</c:v>
                </c:pt>
                <c:pt idx="4">
                  <c:v>23892</c:v>
                </c:pt>
                <c:pt idx="5">
                  <c:v>5430</c:v>
                </c:pt>
                <c:pt idx="6">
                  <c:v>4660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4E1-4A1C-8FC1-40EF13431628}"/>
            </c:ext>
          </c:extLst>
        </c:ser>
        <c:ser>
          <c:idx val="10"/>
          <c:order val="10"/>
          <c:tx>
            <c:strRef>
              <c:f>Tables_Charts!$S$39</c:f>
              <c:strCache>
                <c:ptCount val="1"/>
                <c:pt idx="0">
                  <c:v>Meat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Tables_Charts!$T$39:$AA$39</c:f>
              <c:numCache>
                <c:formatCode>_-* #,##0_-;\-* #,##0_-;_-* "-"??_-;_-@_-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5908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E1-4A1C-8FC1-40EF13431628}"/>
            </c:ext>
          </c:extLst>
        </c:ser>
        <c:ser>
          <c:idx val="11"/>
          <c:order val="11"/>
          <c:tx>
            <c:strRef>
              <c:f>Tables_Charts!$S$40</c:f>
              <c:strCache>
                <c:ptCount val="1"/>
                <c:pt idx="0">
                  <c:v>Snacks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Tables_Charts!$T$40:$AA$40</c:f>
              <c:numCache>
                <c:formatCode>_-* #,##0_-;\-* #,##0_-;_-* "-"??_-;_-@_-</c:formatCode>
                <c:ptCount val="8"/>
                <c:pt idx="0">
                  <c:v>0</c:v>
                </c:pt>
                <c:pt idx="1">
                  <c:v>4085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2225</c:v>
                </c:pt>
                <c:pt idx="7">
                  <c:v>7327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4E1-4A1C-8FC1-40EF13431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6479775"/>
        <c:axId val="1286486975"/>
      </c:barChart>
      <c:catAx>
        <c:axId val="128647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>
                    <a:solidFill>
                      <a:sysClr val="windowText" lastClr="000000"/>
                    </a:solidFill>
                  </a:rPr>
                  <a:t>Years</a:t>
                </a:r>
              </a:p>
            </c:rich>
          </c:tx>
          <c:layout>
            <c:manualLayout>
              <c:xMode val="edge"/>
              <c:yMode val="edge"/>
              <c:x val="0.44796814743073204"/>
              <c:y val="0.888955380577427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486975"/>
        <c:crosses val="autoZero"/>
        <c:auto val="1"/>
        <c:lblAlgn val="ctr"/>
        <c:lblOffset val="100"/>
        <c:noMultiLvlLbl val="0"/>
      </c:catAx>
      <c:valAx>
        <c:axId val="128648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>
                    <a:solidFill>
                      <a:sysClr val="windowText" lastClr="000000"/>
                    </a:solidFill>
                  </a:rPr>
                  <a:t>Quantity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47977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 Per Region</a:t>
            </a:r>
          </a:p>
        </c:rich>
      </c:tx>
      <c:layout>
        <c:manualLayout>
          <c:xMode val="edge"/>
          <c:yMode val="edge"/>
          <c:x val="0.3250400330041159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26524484045647878"/>
          <c:w val="0.62415365605072559"/>
          <c:h val="0.68420212003725789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E1D-4F0C-9901-87894E7476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E1D-4F0C-9901-87894E7476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AE1D-4F0C-9901-87894E74767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AE1D-4F0C-9901-87894E74767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AE1D-4F0C-9901-87894E74767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AE1D-4F0C-9901-87894E74767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AE1D-4F0C-9901-87894E74767D}"/>
              </c:ext>
            </c:extLst>
          </c:dPt>
          <c:dLbls>
            <c:dLbl>
              <c:idx val="0"/>
              <c:layout>
                <c:manualLayout>
                  <c:x val="3.3703126389565102E-2"/>
                  <c:y val="4.971660847836661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1D-4F0C-9901-87894E74767D}"/>
                </c:ext>
              </c:extLst>
            </c:dLbl>
            <c:dLbl>
              <c:idx val="1"/>
              <c:layout>
                <c:manualLayout>
                  <c:x val="3.8459710608463017E-2"/>
                  <c:y val="-6.265823482507361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1D-4F0C-9901-87894E74767D}"/>
                </c:ext>
              </c:extLst>
            </c:dLbl>
            <c:dLbl>
              <c:idx val="2"/>
              <c:layout>
                <c:manualLayout>
                  <c:x val="9.9741146814478678E-3"/>
                  <c:y val="9.752750785957593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E1D-4F0C-9901-87894E74767D}"/>
                </c:ext>
              </c:extLst>
            </c:dLbl>
            <c:dLbl>
              <c:idx val="3"/>
              <c:layout>
                <c:manualLayout>
                  <c:x val="1.2929468153830169E-2"/>
                  <c:y val="-9.7112809914535483E-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E1D-4F0C-9901-87894E74767D}"/>
                </c:ext>
              </c:extLst>
            </c:dLbl>
            <c:dLbl>
              <c:idx val="4"/>
              <c:layout>
                <c:manualLayout>
                  <c:x val="-1.8505698835838306E-2"/>
                  <c:y val="-6.443566171356340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E1D-4F0C-9901-87894E74767D}"/>
                </c:ext>
              </c:extLst>
            </c:dLbl>
            <c:dLbl>
              <c:idx val="5"/>
              <c:layout>
                <c:manualLayout>
                  <c:x val="-2.6050297929626265E-2"/>
                  <c:y val="-0.2057227266547366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E1D-4F0C-9901-87894E74767D}"/>
                </c:ext>
              </c:extLst>
            </c:dLbl>
            <c:dLbl>
              <c:idx val="6"/>
              <c:layout>
                <c:manualLayout>
                  <c:x val="3.2184711850777675E-2"/>
                  <c:y val="-0.1276461272198807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E1D-4F0C-9901-87894E74767D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Tables_Charts!$S$45:$S$51</c:f>
              <c:strCache>
                <c:ptCount val="7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</c:strCache>
            </c:strRef>
          </c:cat>
          <c:val>
            <c:numRef>
              <c:f>Tables_Charts!$T$45:$T$51</c:f>
              <c:numCache>
                <c:formatCode>_(* #,##0.00_);_(* \(#,##0.00\);_(* "-"??_);_(@_)</c:formatCode>
                <c:ptCount val="7"/>
                <c:pt idx="0">
                  <c:v>21347091.020000003</c:v>
                </c:pt>
                <c:pt idx="1">
                  <c:v>14094265.130000003</c:v>
                </c:pt>
                <c:pt idx="2">
                  <c:v>9170385.4900000002</c:v>
                </c:pt>
                <c:pt idx="3">
                  <c:v>33368932.109999999</c:v>
                </c:pt>
                <c:pt idx="4">
                  <c:v>14052706.58</c:v>
                </c:pt>
                <c:pt idx="5">
                  <c:v>5643356.5500000007</c:v>
                </c:pt>
                <c:pt idx="6">
                  <c:v>39672031.430000007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E1D-4F0C-9901-87894E74767D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AE1D-4F0C-9901-87894E7476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AE1D-4F0C-9901-87894E7476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AE1D-4F0C-9901-87894E74767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6-AE1D-4F0C-9901-87894E74767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8-AE1D-4F0C-9901-87894E74767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A-AE1D-4F0C-9901-87894E74767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C-AE1D-4F0C-9901-87894E74767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Tables_Charts!$S$45:$S$51</c:f>
              <c:strCache>
                <c:ptCount val="7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</c:strCache>
            </c:strRef>
          </c:cat>
          <c:val>
            <c:numRef>
              <c:f>Tables_Charts!$U$45:$U$51</c:f>
              <c:numCache>
                <c:formatCode>0.00</c:formatCode>
                <c:ptCount val="7"/>
                <c:pt idx="0">
                  <c:v>15.542251512455522</c:v>
                </c:pt>
                <c:pt idx="1">
                  <c:v>10.261661100730699</c:v>
                </c:pt>
                <c:pt idx="2">
                  <c:v>6.6767147625977863</c:v>
                </c:pt>
                <c:pt idx="3">
                  <c:v>24.295035565725197</c:v>
                </c:pt>
                <c:pt idx="4">
                  <c:v>10.231403421312558</c:v>
                </c:pt>
                <c:pt idx="5">
                  <c:v>4.1087784182110658</c:v>
                </c:pt>
                <c:pt idx="6">
                  <c:v>28.884155218967184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E1D-4F0C-9901-87894E74767D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288223378841463"/>
          <c:y val="0.23101621900640662"/>
          <c:w val="0.29337206422381612"/>
          <c:h val="0.72917141578136691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5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ysClr val="windowText" lastClr="000000"/>
                </a:solidFill>
              </a:rPr>
              <a:t>Gross Profit Margin Per Item Type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5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7611840895866212E-2"/>
          <c:y val="0.28918687839605334"/>
          <c:w val="0.91407413652871705"/>
          <c:h val="0.33018934506096442"/>
        </c:manualLayout>
      </c:layout>
      <c:bar3DChart>
        <c:barDir val="col"/>
        <c:grouping val="clustered"/>
        <c:varyColors val="0"/>
        <c:ser>
          <c:idx val="2"/>
          <c:order val="2"/>
          <c:tx>
            <c:v>Item Types</c:v>
          </c:tx>
          <c:spPr>
            <a:solidFill>
              <a:schemeClr val="accent1">
                <a:tint val="65000"/>
              </a:schemeClr>
            </a:solidFill>
            <a:ln>
              <a:solidFill>
                <a:schemeClr val="accent1">
                  <a:tint val="65000"/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1">
                  <a:tint val="65000"/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Tables_Charts!$S$56:$S$67</c:f>
              <c:strCache>
                <c:ptCount val="12"/>
                <c:pt idx="0">
                  <c:v>Baby Food</c:v>
                </c:pt>
                <c:pt idx="1">
                  <c:v>Cereal</c:v>
                </c:pt>
                <c:pt idx="2">
                  <c:v>Office Supplies</c:v>
                </c:pt>
                <c:pt idx="3">
                  <c:v>Fruits</c:v>
                </c:pt>
                <c:pt idx="4">
                  <c:v>Household</c:v>
                </c:pt>
                <c:pt idx="5">
                  <c:v>Vegetables</c:v>
                </c:pt>
                <c:pt idx="6">
                  <c:v>Personal Care</c:v>
                </c:pt>
                <c:pt idx="7">
                  <c:v>Clothes</c:v>
                </c:pt>
                <c:pt idx="8">
                  <c:v>Cosmetics</c:v>
                </c:pt>
                <c:pt idx="9">
                  <c:v>Beverages</c:v>
                </c:pt>
                <c:pt idx="10">
                  <c:v>Meat</c:v>
                </c:pt>
                <c:pt idx="11">
                  <c:v>Snacks</c:v>
                </c:pt>
              </c:strCache>
            </c:strRef>
          </c:cat>
          <c:val>
            <c:numRef>
              <c:f>Tables_Charts!$V$56:$V$67</c:f>
              <c:numCache>
                <c:formatCode>0</c:formatCode>
                <c:ptCount val="12"/>
                <c:pt idx="0">
                  <c:v>37.550924475086184</c:v>
                </c:pt>
                <c:pt idx="1">
                  <c:v>43.067574137092848</c:v>
                </c:pt>
                <c:pt idx="2">
                  <c:v>19.386987300563565</c:v>
                </c:pt>
                <c:pt idx="3">
                  <c:v>25.830653804930332</c:v>
                </c:pt>
                <c:pt idx="4">
                  <c:v>24.799856345489104</c:v>
                </c:pt>
                <c:pt idx="5">
                  <c:v>40.97754121770739</c:v>
                </c:pt>
                <c:pt idx="6">
                  <c:v>30.661935641747213</c:v>
                </c:pt>
                <c:pt idx="7">
                  <c:v>67.203513909224029</c:v>
                </c:pt>
                <c:pt idx="8">
                  <c:v>39.768984446477582</c:v>
                </c:pt>
                <c:pt idx="9">
                  <c:v>33.003161222339301</c:v>
                </c:pt>
                <c:pt idx="10">
                  <c:v>13.558036455000119</c:v>
                </c:pt>
                <c:pt idx="11">
                  <c:v>36.138419189933153</c:v>
                </c:pt>
              </c:numCache>
            </c:numRef>
          </c:val>
          <c:shape val="pyramid"/>
          <c:extLst>
            <c:ext xmlns:c16="http://schemas.microsoft.com/office/drawing/2014/chart" uri="{C3380CC4-5D6E-409C-BE32-E72D297353CC}">
              <c16:uniqueId val="{00000000-8C00-4277-A09B-18D643E1D7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693905951"/>
        <c:axId val="1693906911"/>
        <c:axId val="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>
                      <a:shade val="65000"/>
                    </a:schemeClr>
                  </a:solidFill>
                  <a:ln>
                    <a:solidFill>
                      <a:schemeClr val="accent1">
                        <a:shade val="65000"/>
                        <a:lumMod val="75000"/>
                      </a:schemeClr>
                    </a:solidFill>
                  </a:ln>
                  <a:effectLst/>
                  <a:scene3d>
                    <a:camera prst="orthographicFront"/>
                    <a:lightRig rig="threePt" dir="t"/>
                  </a:scene3d>
                  <a:sp3d prstMaterial="translucentPowder">
                    <a:contourClr>
                      <a:schemeClr val="accent1">
                        <a:shade val="65000"/>
                        <a:lumMod val="75000"/>
                      </a:schemeClr>
                    </a:contourClr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Tables_Charts!$S$56:$S$67</c15:sqref>
                        </c15:formulaRef>
                      </c:ext>
                    </c:extLst>
                    <c:strCache>
                      <c:ptCount val="12"/>
                      <c:pt idx="0">
                        <c:v>Baby Food</c:v>
                      </c:pt>
                      <c:pt idx="1">
                        <c:v>Cereal</c:v>
                      </c:pt>
                      <c:pt idx="2">
                        <c:v>Office Supplies</c:v>
                      </c:pt>
                      <c:pt idx="3">
                        <c:v>Fruits</c:v>
                      </c:pt>
                      <c:pt idx="4">
                        <c:v>Household</c:v>
                      </c:pt>
                      <c:pt idx="5">
                        <c:v>Vegetables</c:v>
                      </c:pt>
                      <c:pt idx="6">
                        <c:v>Personal Care</c:v>
                      </c:pt>
                      <c:pt idx="7">
                        <c:v>Clothes</c:v>
                      </c:pt>
                      <c:pt idx="8">
                        <c:v>Cosmetics</c:v>
                      </c:pt>
                      <c:pt idx="9">
                        <c:v>Beverages</c:v>
                      </c:pt>
                      <c:pt idx="10">
                        <c:v>Meat</c:v>
                      </c:pt>
                      <c:pt idx="11">
                        <c:v>Snacks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Tables_Charts!$T$56:$T$67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2"/>
                      <c:pt idx="0">
                        <c:v>10350327.6</c:v>
                      </c:pt>
                      <c:pt idx="1">
                        <c:v>5322898.9000000004</c:v>
                      </c:pt>
                      <c:pt idx="2">
                        <c:v>30585380.07</c:v>
                      </c:pt>
                      <c:pt idx="3">
                        <c:v>466481.34</c:v>
                      </c:pt>
                      <c:pt idx="4">
                        <c:v>29889712.289999995</c:v>
                      </c:pt>
                      <c:pt idx="5">
                        <c:v>3089057.06</c:v>
                      </c:pt>
                      <c:pt idx="6">
                        <c:v>3980904.8400000003</c:v>
                      </c:pt>
                      <c:pt idx="7">
                        <c:v>7787292.799999998</c:v>
                      </c:pt>
                      <c:pt idx="8">
                        <c:v>36601509.600000001</c:v>
                      </c:pt>
                      <c:pt idx="9">
                        <c:v>2690794.6</c:v>
                      </c:pt>
                      <c:pt idx="10">
                        <c:v>4503675.75</c:v>
                      </c:pt>
                      <c:pt idx="11">
                        <c:v>2080733.46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C00-4277-A09B-18D643E1D745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1"/>
                  </a:solidFill>
                  <a:ln>
                    <a:solidFill>
                      <a:schemeClr val="accent1">
                        <a:lumMod val="75000"/>
                      </a:schemeClr>
                    </a:solidFill>
                  </a:ln>
                  <a:effectLst/>
                  <a:scene3d>
                    <a:camera prst="orthographicFront"/>
                    <a:lightRig rig="threePt" dir="t"/>
                  </a:scene3d>
                  <a:sp3d prstMaterial="translucentPowder">
                    <a:contourClr>
                      <a:schemeClr val="accent1">
                        <a:lumMod val="75000"/>
                      </a:schemeClr>
                    </a:contourClr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Tables_Charts!$S$56:$S$67</c15:sqref>
                        </c15:formulaRef>
                      </c:ext>
                    </c:extLst>
                    <c:strCache>
                      <c:ptCount val="12"/>
                      <c:pt idx="0">
                        <c:v>Baby Food</c:v>
                      </c:pt>
                      <c:pt idx="1">
                        <c:v>Cereal</c:v>
                      </c:pt>
                      <c:pt idx="2">
                        <c:v>Office Supplies</c:v>
                      </c:pt>
                      <c:pt idx="3">
                        <c:v>Fruits</c:v>
                      </c:pt>
                      <c:pt idx="4">
                        <c:v>Household</c:v>
                      </c:pt>
                      <c:pt idx="5">
                        <c:v>Vegetables</c:v>
                      </c:pt>
                      <c:pt idx="6">
                        <c:v>Personal Care</c:v>
                      </c:pt>
                      <c:pt idx="7">
                        <c:v>Clothes</c:v>
                      </c:pt>
                      <c:pt idx="8">
                        <c:v>Cosmetics</c:v>
                      </c:pt>
                      <c:pt idx="9">
                        <c:v>Beverages</c:v>
                      </c:pt>
                      <c:pt idx="10">
                        <c:v>Meat</c:v>
                      </c:pt>
                      <c:pt idx="11">
                        <c:v>Snacks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Tables_Charts!$U$56:$U$67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2"/>
                      <c:pt idx="0">
                        <c:v>3886643.7</c:v>
                      </c:pt>
                      <c:pt idx="1">
                        <c:v>2292443.4299999997</c:v>
                      </c:pt>
                      <c:pt idx="2">
                        <c:v>5929583.75</c:v>
                      </c:pt>
                      <c:pt idx="3">
                        <c:v>120495.18</c:v>
                      </c:pt>
                      <c:pt idx="4">
                        <c:v>7412605.7100000009</c:v>
                      </c:pt>
                      <c:pt idx="5">
                        <c:v>1265819.6300000001</c:v>
                      </c:pt>
                      <c:pt idx="6">
                        <c:v>1220622.48</c:v>
                      </c:pt>
                      <c:pt idx="7">
                        <c:v>5233334.4000000004</c:v>
                      </c:pt>
                      <c:pt idx="8">
                        <c:v>14556048.66</c:v>
                      </c:pt>
                      <c:pt idx="9">
                        <c:v>888047.27999999991</c:v>
                      </c:pt>
                      <c:pt idx="10">
                        <c:v>610610</c:v>
                      </c:pt>
                      <c:pt idx="11">
                        <c:v>751944.18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C00-4277-A09B-18D643E1D745}"/>
                  </c:ext>
                </c:extLst>
              </c15:ser>
            </c15:filteredBarSeries>
          </c:ext>
        </c:extLst>
      </c:bar3DChart>
      <c:catAx>
        <c:axId val="169390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906911"/>
        <c:crosses val="autoZero"/>
        <c:auto val="1"/>
        <c:lblAlgn val="ctr"/>
        <c:lblOffset val="100"/>
        <c:noMultiLvlLbl val="0"/>
      </c:catAx>
      <c:valAx>
        <c:axId val="169390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>
                    <a:solidFill>
                      <a:sysClr val="windowText" lastClr="000000"/>
                    </a:solidFill>
                  </a:rPr>
                  <a:t>Percentage</a:t>
                </a:r>
              </a:p>
              <a:p>
                <a:pPr>
                  <a:defRPr sz="1200" b="1">
                    <a:solidFill>
                      <a:sysClr val="windowText" lastClr="000000"/>
                    </a:solidFill>
                  </a:defRPr>
                </a:pPr>
                <a:endParaRPr lang="en-GB" sz="12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556241933846667E-3"/>
              <c:y val="0.347141741061631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90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ysClr val="windowText" lastClr="000000"/>
                </a:solidFill>
              </a:rPr>
              <a:t>Average</a:t>
            </a:r>
            <a:r>
              <a:rPr lang="en-GB" sz="1200" b="1" baseline="0">
                <a:solidFill>
                  <a:sysClr val="windowText" lastClr="000000"/>
                </a:solidFill>
              </a:rPr>
              <a:t> Profit Per Year</a:t>
            </a:r>
            <a:endParaRPr lang="en-GB" sz="12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9737050072408363"/>
          <c:y val="0.17480746240781989"/>
          <c:w val="0.77586551413577143"/>
          <c:h val="0.57458398268718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Tables_Charts!$S$72:$S$79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Tables_Charts!$T$72:$T$79</c:f>
              <c:numCache>
                <c:formatCode>_(* #,##0.00_);_(* \(#,##0.00\);_(* "-"??_);_(@_)</c:formatCode>
                <c:ptCount val="8"/>
                <c:pt idx="0">
                  <c:v>662956.74300000002</c:v>
                </c:pt>
                <c:pt idx="1">
                  <c:v>228417.35250000004</c:v>
                </c:pt>
                <c:pt idx="2">
                  <c:v>418773.18727272731</c:v>
                </c:pt>
                <c:pt idx="3">
                  <c:v>559618.33666666655</c:v>
                </c:pt>
                <c:pt idx="4">
                  <c:v>391964.11199999996</c:v>
                </c:pt>
                <c:pt idx="5">
                  <c:v>363321.76727272733</c:v>
                </c:pt>
                <c:pt idx="6">
                  <c:v>490383.80099999998</c:v>
                </c:pt>
                <c:pt idx="7">
                  <c:v>511169.18125000002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1D-438B-9774-4DC55BAB0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2631135"/>
        <c:axId val="1422631615"/>
      </c:barChart>
      <c:catAx>
        <c:axId val="1422631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>
                    <a:solidFill>
                      <a:sysClr val="windowText" lastClr="000000"/>
                    </a:solidFill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631615"/>
        <c:crosses val="autoZero"/>
        <c:auto val="1"/>
        <c:lblAlgn val="ctr"/>
        <c:lblOffset val="100"/>
        <c:noMultiLvlLbl val="0"/>
      </c:catAx>
      <c:valAx>
        <c:axId val="142263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Average</a:t>
                </a:r>
                <a:r>
                  <a:rPr lang="en-GB" sz="1200" b="1" baseline="0"/>
                  <a:t> Profit (£)</a:t>
                </a:r>
                <a:endParaRPr lang="en-GB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631135"/>
        <c:crosses val="autoZero"/>
        <c:crossBetween val="between"/>
      </c:valAx>
      <c:spPr>
        <a:solidFill>
          <a:schemeClr val="accent3">
            <a:lumMod val="40000"/>
            <a:lumOff val="60000"/>
          </a:schemeClr>
        </a:solidFill>
        <a:ln>
          <a:solidFill>
            <a:schemeClr val="accent4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ysClr val="windowText" lastClr="000000"/>
                </a:solidFill>
                <a:latin typeface="+mj-lt"/>
                <a:ea typeface="+mj-ea"/>
                <a:cs typeface="+mj-cs"/>
              </a:defRPr>
            </a:pPr>
            <a:r>
              <a:rPr lang="en-GB" sz="1200">
                <a:solidFill>
                  <a:sysClr val="windowText" lastClr="000000"/>
                </a:solidFill>
              </a:rPr>
              <a:t>The Four</a:t>
            </a:r>
            <a:r>
              <a:rPr lang="en-GB" sz="1200" baseline="0">
                <a:solidFill>
                  <a:sysClr val="windowText" lastClr="000000"/>
                </a:solidFill>
              </a:rPr>
              <a:t> Topmost Revenue-Generating Countries</a:t>
            </a:r>
            <a:r>
              <a:rPr lang="en-GB" sz="1200">
                <a:solidFill>
                  <a:sysClr val="windowText" lastClr="000000"/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0" normalizeH="0" baseline="0">
              <a:solidFill>
                <a:sysClr val="windowText" lastClr="000000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Tables_Charts!$V$83:$V$86</c:f>
              <c:strCache>
                <c:ptCount val="4"/>
                <c:pt idx="0">
                  <c:v>Honduras</c:v>
                </c:pt>
                <c:pt idx="1">
                  <c:v>Myanmar</c:v>
                </c:pt>
                <c:pt idx="2">
                  <c:v>Djibouti</c:v>
                </c:pt>
                <c:pt idx="3">
                  <c:v>Turkmenistan</c:v>
                </c:pt>
              </c:strCache>
            </c:strRef>
          </c:cat>
          <c:val>
            <c:numRef>
              <c:f>Tables_Charts!$W$83:$W$86</c:f>
              <c:numCache>
                <c:formatCode>_(* #,##0.00_);_(* \(#,##0.00\);_(* "-"??_);_(@_)</c:formatCode>
                <c:ptCount val="4"/>
                <c:pt idx="0">
                  <c:v>6336545.4800000004</c:v>
                </c:pt>
                <c:pt idx="1">
                  <c:v>6161257.9000000004</c:v>
                </c:pt>
                <c:pt idx="2">
                  <c:v>6052890.8600000003</c:v>
                </c:pt>
                <c:pt idx="3">
                  <c:v>5822036.2000000002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A-4937-85AB-7704A37FC07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1720834015"/>
        <c:axId val="1720832095"/>
      </c:barChart>
      <c:catAx>
        <c:axId val="1720834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Countries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832095"/>
        <c:crosses val="autoZero"/>
        <c:auto val="1"/>
        <c:lblAlgn val="ctr"/>
        <c:lblOffset val="100"/>
        <c:noMultiLvlLbl val="0"/>
      </c:catAx>
      <c:valAx>
        <c:axId val="172083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Revenue</a:t>
                </a:r>
                <a:r>
                  <a:rPr lang="en-GB" sz="1200" baseline="0"/>
                  <a:t> (£)</a:t>
                </a:r>
                <a:endParaRPr lang="en-GB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83401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ysClr val="windowText" lastClr="000000"/>
                </a:solidFill>
              </a:rPr>
              <a:t>The Four Lowest Revenue-Generating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Tables_Charts!$V$89:$V$92</c:f>
              <c:strCache>
                <c:ptCount val="4"/>
                <c:pt idx="0">
                  <c:v>Kuwait</c:v>
                </c:pt>
                <c:pt idx="1">
                  <c:v>Kyrgyzstan</c:v>
                </c:pt>
                <c:pt idx="2">
                  <c:v>New Zealand</c:v>
                </c:pt>
                <c:pt idx="3">
                  <c:v>Slovakia</c:v>
                </c:pt>
              </c:strCache>
            </c:strRef>
          </c:cat>
          <c:val>
            <c:numRef>
              <c:f>Tables_Charts!$W$89:$W$92</c:f>
              <c:numCache>
                <c:formatCode>_(* #,##0.00_);_(* \(#,##0.00\);_(* "-"??_);_(@_)</c:formatCode>
                <c:ptCount val="4"/>
                <c:pt idx="0">
                  <c:v>4870.26</c:v>
                </c:pt>
                <c:pt idx="1">
                  <c:v>19103.439999999999</c:v>
                </c:pt>
                <c:pt idx="2">
                  <c:v>20404.71</c:v>
                </c:pt>
                <c:pt idx="3">
                  <c:v>26344.26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2-425D-9548-3701DD38F6D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733613759"/>
        <c:axId val="1733617119"/>
      </c:barChart>
      <c:catAx>
        <c:axId val="1733613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Countries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617119"/>
        <c:crosses val="autoZero"/>
        <c:auto val="1"/>
        <c:lblAlgn val="ctr"/>
        <c:lblOffset val="100"/>
        <c:noMultiLvlLbl val="0"/>
      </c:catAx>
      <c:valAx>
        <c:axId val="1733617119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Revenue (£)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crossAx val="173361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j-ea"/>
                <a:cs typeface="+mj-cs"/>
              </a:defRPr>
            </a:pPr>
            <a:r>
              <a:rPr lang="en-GB" sz="1200">
                <a:solidFill>
                  <a:sysClr val="windowText" lastClr="000000"/>
                </a:solidFill>
                <a:latin typeface="+mn-lt"/>
              </a:rPr>
              <a:t>Revenue</a:t>
            </a:r>
            <a:r>
              <a:rPr lang="en-GB" sz="1200" baseline="0">
                <a:solidFill>
                  <a:sysClr val="windowText" lastClr="000000"/>
                </a:solidFill>
                <a:latin typeface="+mn-lt"/>
              </a:rPr>
              <a:t> Growth Year-on-Year</a:t>
            </a:r>
            <a:endParaRPr lang="en-GB" sz="1200">
              <a:solidFill>
                <a:sysClr val="windowText" lastClr="000000"/>
              </a:solidFill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0" normalizeH="0" baseline="0">
              <a:solidFill>
                <a:sysClr val="windowText" lastClr="000000"/>
              </a:solidFill>
              <a:latin typeface="+mn-lt"/>
              <a:ea typeface="+mj-ea"/>
              <a:cs typeface="+mj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Tables_Charts!$S$163:$S$170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Tables_Charts!$T$163:$T$170</c:f>
              <c:numCache>
                <c:formatCode>_(* #,##0.00_);_(* \(#,##0.00\);_(* "-"??_);_(@_)</c:formatCode>
                <c:ptCount val="8"/>
                <c:pt idx="0">
                  <c:v>19186024.920000002</c:v>
                </c:pt>
                <c:pt idx="1">
                  <c:v>11129166.07</c:v>
                </c:pt>
                <c:pt idx="2">
                  <c:v>31898644.52</c:v>
                </c:pt>
                <c:pt idx="3">
                  <c:v>20330448.66</c:v>
                </c:pt>
                <c:pt idx="4">
                  <c:v>16630214.430000002</c:v>
                </c:pt>
                <c:pt idx="5">
                  <c:v>12427982.860000001</c:v>
                </c:pt>
                <c:pt idx="6">
                  <c:v>12372867.219999999</c:v>
                </c:pt>
                <c:pt idx="7">
                  <c:v>13373419.629999999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83-4BDF-8938-EAB83EBBA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3619039"/>
        <c:axId val="1733616159"/>
      </c:lineChart>
      <c:catAx>
        <c:axId val="173361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Years</a:t>
                </a:r>
              </a:p>
            </c:rich>
          </c:tx>
          <c:layout>
            <c:manualLayout>
              <c:xMode val="edge"/>
              <c:yMode val="edge"/>
              <c:x val="0.54016744876587397"/>
              <c:y val="0.864992364166806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616159"/>
        <c:crosses val="autoZero"/>
        <c:auto val="1"/>
        <c:lblAlgn val="ctr"/>
        <c:lblOffset val="100"/>
        <c:noMultiLvlLbl val="0"/>
      </c:catAx>
      <c:valAx>
        <c:axId val="173361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Revenue</a:t>
                </a:r>
                <a:r>
                  <a:rPr lang="en-GB" sz="1200" baseline="0">
                    <a:solidFill>
                      <a:sysClr val="windowText" lastClr="000000"/>
                    </a:solidFill>
                  </a:rPr>
                  <a:t> (£)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61903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  <a:latin typeface="+mn-lt"/>
              </a:rPr>
              <a:t>Total Profit</a:t>
            </a:r>
            <a:r>
              <a:rPr lang="en-US" sz="1200" b="1" baseline="0">
                <a:solidFill>
                  <a:sysClr val="windowText" lastClr="000000"/>
                </a:solidFill>
                <a:latin typeface="+mn-lt"/>
              </a:rPr>
              <a:t> Per Region</a:t>
            </a:r>
            <a:r>
              <a:rPr lang="en-US" sz="1200" b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189841525933979"/>
          <c:y val="0.15766666666666668"/>
          <c:w val="0.6854364028549883"/>
          <c:h val="0.415658792650918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Tables_Charts!$T$5</c:f>
              <c:strCache>
                <c:ptCount val="1"/>
                <c:pt idx="0">
                  <c:v>Total profit (£)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Tables_Charts!$S$6:$S$12</c:f>
              <c:strCache>
                <c:ptCount val="7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</c:strCache>
            </c:strRef>
          </c:cat>
          <c:val>
            <c:numRef>
              <c:f>Tables_Charts!$T$6:$T$12</c:f>
              <c:numCache>
                <c:formatCode>_(* #,##0.00_);_(* \(#,##0.00\);_(* "-"??_);_(@_)</c:formatCode>
                <c:ptCount val="7"/>
                <c:pt idx="0">
                  <c:v>6113845.8700000001</c:v>
                </c:pt>
                <c:pt idx="1">
                  <c:v>4722160.03</c:v>
                </c:pt>
                <c:pt idx="2">
                  <c:v>2846907.85</c:v>
                </c:pt>
                <c:pt idx="3">
                  <c:v>11082938.629999999</c:v>
                </c:pt>
                <c:pt idx="4">
                  <c:v>5761191.8599999994</c:v>
                </c:pt>
                <c:pt idx="5">
                  <c:v>1457942.76</c:v>
                </c:pt>
                <c:pt idx="6">
                  <c:v>12183211.400000004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D-4FD7-8DF5-C128BF33C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9702319"/>
        <c:axId val="1399717679"/>
      </c:barChart>
      <c:catAx>
        <c:axId val="1399702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>
                    <a:solidFill>
                      <a:sysClr val="windowText" lastClr="000000"/>
                    </a:solidFill>
                  </a:rPr>
                  <a:t>Regions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717679"/>
        <c:crosses val="autoZero"/>
        <c:auto val="1"/>
        <c:lblAlgn val="ctr"/>
        <c:lblOffset val="100"/>
        <c:noMultiLvlLbl val="0"/>
      </c:catAx>
      <c:valAx>
        <c:axId val="139971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>
                    <a:solidFill>
                      <a:sysClr val="windowText" lastClr="000000"/>
                    </a:solidFill>
                  </a:rPr>
                  <a:t>Total</a:t>
                </a:r>
                <a:r>
                  <a:rPr lang="en-GB" sz="1200" b="1" baseline="0">
                    <a:solidFill>
                      <a:sysClr val="windowText" lastClr="000000"/>
                    </a:solidFill>
                  </a:rPr>
                  <a:t> Profit (£)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702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j-ea"/>
                <a:cs typeface="+mj-cs"/>
              </a:defRPr>
            </a:pPr>
            <a:r>
              <a:rPr lang="en-GB" sz="1200">
                <a:solidFill>
                  <a:sysClr val="windowText" lastClr="000000"/>
                </a:solidFill>
                <a:latin typeface="+mn-lt"/>
              </a:rPr>
              <a:t>Total Revenue Per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0" normalizeH="0" baseline="0">
              <a:solidFill>
                <a:sysClr val="windowText" lastClr="000000"/>
              </a:solidFill>
              <a:latin typeface="+mn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Tables_Charts!$S$17:$S$24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Tables_Charts!$T$17:$T$24</c:f>
              <c:numCache>
                <c:formatCode>_(* #,##0.00_);_(* \(#,##0.00\);_(* "-"??_);_(@_)</c:formatCode>
                <c:ptCount val="8"/>
                <c:pt idx="0">
                  <c:v>19186024.920000002</c:v>
                </c:pt>
                <c:pt idx="1">
                  <c:v>11129166.07</c:v>
                </c:pt>
                <c:pt idx="2">
                  <c:v>31898644.52</c:v>
                </c:pt>
                <c:pt idx="3">
                  <c:v>20330448.66</c:v>
                </c:pt>
                <c:pt idx="4">
                  <c:v>16630214.430000002</c:v>
                </c:pt>
                <c:pt idx="5">
                  <c:v>12427982.860000001</c:v>
                </c:pt>
                <c:pt idx="6">
                  <c:v>12372867.219999999</c:v>
                </c:pt>
                <c:pt idx="7">
                  <c:v>13373419.629999999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C-4539-8C79-804E1FD8D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399717199"/>
        <c:axId val="1399702799"/>
      </c:barChart>
      <c:catAx>
        <c:axId val="1399717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702799"/>
        <c:crosses val="autoZero"/>
        <c:auto val="1"/>
        <c:lblAlgn val="ctr"/>
        <c:lblOffset val="100"/>
        <c:noMultiLvlLbl val="0"/>
      </c:catAx>
      <c:valAx>
        <c:axId val="139970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Revenue (£)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71719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j-ea"/>
                <a:cs typeface="+mj-cs"/>
              </a:defRPr>
            </a:pPr>
            <a:r>
              <a:rPr lang="en-GB" sz="1600">
                <a:solidFill>
                  <a:sysClr val="windowText" lastClr="000000"/>
                </a:solidFill>
                <a:latin typeface="+mn-lt"/>
              </a:rPr>
              <a:t>Year-on-Year Sales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ysClr val="windowText" lastClr="000000"/>
              </a:solidFill>
              <a:latin typeface="+mn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Tables_Charts!$S$29</c:f>
              <c:strCache>
                <c:ptCount val="1"/>
                <c:pt idx="0">
                  <c:v>Baby 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Tables_Charts!$T$29:$AA$29</c:f>
              <c:numCache>
                <c:formatCode>_-* #,##0_-;\-* #,##0_-;_-* "-"??_-;_-@_-</c:formatCode>
                <c:ptCount val="8"/>
                <c:pt idx="0">
                  <c:v>9925</c:v>
                </c:pt>
                <c:pt idx="1">
                  <c:v>0</c:v>
                </c:pt>
                <c:pt idx="2">
                  <c:v>8614</c:v>
                </c:pt>
                <c:pt idx="3">
                  <c:v>4750</c:v>
                </c:pt>
                <c:pt idx="4">
                  <c:v>13009</c:v>
                </c:pt>
                <c:pt idx="5">
                  <c:v>4247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E0-42BC-BFCC-CAAE6BE22CE0}"/>
            </c:ext>
          </c:extLst>
        </c:ser>
        <c:ser>
          <c:idx val="1"/>
          <c:order val="1"/>
          <c:tx>
            <c:strRef>
              <c:f>Tables_Charts!$S$30</c:f>
              <c:strCache>
                <c:ptCount val="1"/>
                <c:pt idx="0">
                  <c:v>Cereal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Tables_Charts!$T$30:$AA$30</c:f>
              <c:numCache>
                <c:formatCode>_-* #,##0_-;\-* #,##0_-;_-* "-"??_-;_-@_-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4921</c:v>
                </c:pt>
                <c:pt idx="3">
                  <c:v>4745</c:v>
                </c:pt>
                <c:pt idx="4">
                  <c:v>6593</c:v>
                </c:pt>
                <c:pt idx="5">
                  <c:v>0</c:v>
                </c:pt>
                <c:pt idx="6">
                  <c:v>962</c:v>
                </c:pt>
                <c:pt idx="7">
                  <c:v>8656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E0-42BC-BFCC-CAAE6BE22CE0}"/>
            </c:ext>
          </c:extLst>
        </c:ser>
        <c:ser>
          <c:idx val="2"/>
          <c:order val="2"/>
          <c:tx>
            <c:strRef>
              <c:f>Tables_Charts!$S$31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Tables_Charts!$T$31:$AA$31</c:f>
              <c:numCache>
                <c:formatCode>_-* #,##0_-;\-* #,##0_-;_-* "-"??_-;_-@_-</c:formatCode>
                <c:ptCount val="8"/>
                <c:pt idx="0">
                  <c:v>8287</c:v>
                </c:pt>
                <c:pt idx="1">
                  <c:v>8975</c:v>
                </c:pt>
                <c:pt idx="2">
                  <c:v>13982</c:v>
                </c:pt>
                <c:pt idx="3">
                  <c:v>10072</c:v>
                </c:pt>
                <c:pt idx="4">
                  <c:v>1779</c:v>
                </c:pt>
                <c:pt idx="5">
                  <c:v>2924</c:v>
                </c:pt>
                <c:pt idx="6">
                  <c:v>948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E0-42BC-BFCC-CAAE6BE22CE0}"/>
            </c:ext>
          </c:extLst>
        </c:ser>
        <c:ser>
          <c:idx val="3"/>
          <c:order val="3"/>
          <c:tx>
            <c:strRef>
              <c:f>Tables_Charts!$S$32</c:f>
              <c:strCache>
                <c:ptCount val="1"/>
                <c:pt idx="0">
                  <c:v>Fruits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Tables_Charts!$T$32:$AA$32</c:f>
              <c:numCache>
                <c:formatCode>_-* #,##0_-;\-* #,##0_-;_-* "-"??_-;_-@_-</c:formatCode>
                <c:ptCount val="8"/>
                <c:pt idx="0">
                  <c:v>5822</c:v>
                </c:pt>
                <c:pt idx="1">
                  <c:v>10051</c:v>
                </c:pt>
                <c:pt idx="2">
                  <c:v>522</c:v>
                </c:pt>
                <c:pt idx="3">
                  <c:v>17243</c:v>
                </c:pt>
                <c:pt idx="4">
                  <c:v>15687</c:v>
                </c:pt>
                <c:pt idx="5">
                  <c:v>673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E0-42BC-BFCC-CAAE6BE22CE0}"/>
            </c:ext>
          </c:extLst>
        </c:ser>
        <c:ser>
          <c:idx val="4"/>
          <c:order val="4"/>
          <c:tx>
            <c:strRef>
              <c:f>Tables_Charts!$S$33</c:f>
              <c:strCache>
                <c:ptCount val="1"/>
                <c:pt idx="0">
                  <c:v>Household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Tables_Charts!$T$33:$AA$33</c:f>
              <c:numCache>
                <c:formatCode>_-* #,##0_-;\-* #,##0_-;_-* "-"??_-;_-@_-</c:formatCode>
                <c:ptCount val="8"/>
                <c:pt idx="0">
                  <c:v>3830</c:v>
                </c:pt>
                <c:pt idx="1">
                  <c:v>4187</c:v>
                </c:pt>
                <c:pt idx="2">
                  <c:v>12532</c:v>
                </c:pt>
                <c:pt idx="3">
                  <c:v>0</c:v>
                </c:pt>
                <c:pt idx="4">
                  <c:v>6954</c:v>
                </c:pt>
                <c:pt idx="5">
                  <c:v>8250</c:v>
                </c:pt>
                <c:pt idx="6">
                  <c:v>0</c:v>
                </c:pt>
                <c:pt idx="7">
                  <c:v>8974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E0-42BC-BFCC-CAAE6BE22CE0}"/>
            </c:ext>
          </c:extLst>
        </c:ser>
        <c:ser>
          <c:idx val="5"/>
          <c:order val="5"/>
          <c:tx>
            <c:strRef>
              <c:f>Tables_Charts!$S$34</c:f>
              <c:strCache>
                <c:ptCount val="1"/>
                <c:pt idx="0">
                  <c:v>Vegetables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Tables_Charts!$T$34:$AA$34</c:f>
              <c:numCache>
                <c:formatCode>_-* #,##0_-;\-* #,##0_-;_-* "-"??_-;_-@_-</c:formatCode>
                <c:ptCount val="8"/>
                <c:pt idx="0">
                  <c:v>0</c:v>
                </c:pt>
                <c:pt idx="1">
                  <c:v>3856</c:v>
                </c:pt>
                <c:pt idx="2">
                  <c:v>14710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1485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E0-42BC-BFCC-CAAE6BE22CE0}"/>
            </c:ext>
          </c:extLst>
        </c:ser>
        <c:ser>
          <c:idx val="6"/>
          <c:order val="6"/>
          <c:tx>
            <c:strRef>
              <c:f>Tables_Charts!$S$35</c:f>
              <c:strCache>
                <c:ptCount val="1"/>
                <c:pt idx="0">
                  <c:v>Personal Care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Tables_Charts!$T$35:$AA$35</c:f>
              <c:numCache>
                <c:formatCode>_-* #,##0_-;\-* #,##0_-;_-* "-"??_-;_-@_-</c:formatCode>
                <c:ptCount val="8"/>
                <c:pt idx="0">
                  <c:v>273</c:v>
                </c:pt>
                <c:pt idx="1">
                  <c:v>0</c:v>
                </c:pt>
                <c:pt idx="2">
                  <c:v>15078</c:v>
                </c:pt>
                <c:pt idx="3">
                  <c:v>2125</c:v>
                </c:pt>
                <c:pt idx="4">
                  <c:v>4901</c:v>
                </c:pt>
                <c:pt idx="5">
                  <c:v>11837</c:v>
                </c:pt>
                <c:pt idx="6">
                  <c:v>5070</c:v>
                </c:pt>
                <c:pt idx="7">
                  <c:v>9424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E0-42BC-BFCC-CAAE6BE22CE0}"/>
            </c:ext>
          </c:extLst>
        </c:ser>
        <c:ser>
          <c:idx val="7"/>
          <c:order val="7"/>
          <c:tx>
            <c:strRef>
              <c:f>Tables_Charts!$S$36</c:f>
              <c:strCache>
                <c:ptCount val="1"/>
                <c:pt idx="0">
                  <c:v>Clothes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Tables_Charts!$T$36:$AA$36</c:f>
              <c:numCache>
                <c:formatCode>_-* #,##0_-;\-* #,##0_-;_-* "-"??_-;_-@_-</c:formatCode>
                <c:ptCount val="8"/>
                <c:pt idx="0">
                  <c:v>18290</c:v>
                </c:pt>
                <c:pt idx="1">
                  <c:v>888</c:v>
                </c:pt>
                <c:pt idx="2">
                  <c:v>13039</c:v>
                </c:pt>
                <c:pt idx="3">
                  <c:v>0</c:v>
                </c:pt>
                <c:pt idx="4">
                  <c:v>12010</c:v>
                </c:pt>
                <c:pt idx="5">
                  <c:v>13272</c:v>
                </c:pt>
                <c:pt idx="6">
                  <c:v>5498</c:v>
                </c:pt>
                <c:pt idx="7">
                  <c:v>8263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AE0-42BC-BFCC-CAAE6BE22CE0}"/>
            </c:ext>
          </c:extLst>
        </c:ser>
        <c:ser>
          <c:idx val="8"/>
          <c:order val="8"/>
          <c:tx>
            <c:strRef>
              <c:f>Tables_Charts!$S$37</c:f>
              <c:strCache>
                <c:ptCount val="1"/>
                <c:pt idx="0">
                  <c:v>Cosmetics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Tables_Charts!$T$37:$AA$37</c:f>
              <c:numCache>
                <c:formatCode>_-* #,##0_-;\-* #,##0_-;_-* "-"??_-;_-@_-</c:formatCode>
                <c:ptCount val="8"/>
                <c:pt idx="0">
                  <c:v>15144</c:v>
                </c:pt>
                <c:pt idx="1">
                  <c:v>0</c:v>
                </c:pt>
                <c:pt idx="2">
                  <c:v>8661</c:v>
                </c:pt>
                <c:pt idx="3">
                  <c:v>25728</c:v>
                </c:pt>
                <c:pt idx="4">
                  <c:v>7215</c:v>
                </c:pt>
                <c:pt idx="5">
                  <c:v>2847</c:v>
                </c:pt>
                <c:pt idx="6">
                  <c:v>22308</c:v>
                </c:pt>
                <c:pt idx="7">
                  <c:v>1815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3AE0-42BC-BFCC-CAAE6BE22CE0}"/>
            </c:ext>
          </c:extLst>
        </c:ser>
        <c:ser>
          <c:idx val="9"/>
          <c:order val="9"/>
          <c:tx>
            <c:strRef>
              <c:f>Tables_Charts!$S$38</c:f>
              <c:strCache>
                <c:ptCount val="1"/>
                <c:pt idx="0">
                  <c:v>Beverages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Tables_Charts!$T$38:$AA$38</c:f>
              <c:numCache>
                <c:formatCode>_-* #,##0_-;\-* #,##0_-;_-* "-"??_-;_-@_-</c:formatCode>
                <c:ptCount val="8"/>
                <c:pt idx="0">
                  <c:v>0</c:v>
                </c:pt>
                <c:pt idx="1">
                  <c:v>22726</c:v>
                </c:pt>
                <c:pt idx="2">
                  <c:v>0</c:v>
                </c:pt>
                <c:pt idx="3">
                  <c:v>0</c:v>
                </c:pt>
                <c:pt idx="4">
                  <c:v>23892</c:v>
                </c:pt>
                <c:pt idx="5">
                  <c:v>5430</c:v>
                </c:pt>
                <c:pt idx="6">
                  <c:v>4660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3AE0-42BC-BFCC-CAAE6BE22CE0}"/>
            </c:ext>
          </c:extLst>
        </c:ser>
        <c:ser>
          <c:idx val="10"/>
          <c:order val="10"/>
          <c:tx>
            <c:strRef>
              <c:f>Tables_Charts!$S$39</c:f>
              <c:strCache>
                <c:ptCount val="1"/>
                <c:pt idx="0">
                  <c:v>Meat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Tables_Charts!$T$39:$AA$39</c:f>
              <c:numCache>
                <c:formatCode>_-* #,##0_-;\-* #,##0_-;_-* "-"??_-;_-@_-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5908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3AE0-42BC-BFCC-CAAE6BE22CE0}"/>
            </c:ext>
          </c:extLst>
        </c:ser>
        <c:ser>
          <c:idx val="11"/>
          <c:order val="11"/>
          <c:tx>
            <c:strRef>
              <c:f>Tables_Charts!$S$40</c:f>
              <c:strCache>
                <c:ptCount val="1"/>
                <c:pt idx="0">
                  <c:v>Snacks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Tables_Charts!$T$40:$AA$40</c:f>
              <c:numCache>
                <c:formatCode>_-* #,##0_-;\-* #,##0_-;_-* "-"??_-;_-@_-</c:formatCode>
                <c:ptCount val="8"/>
                <c:pt idx="0">
                  <c:v>0</c:v>
                </c:pt>
                <c:pt idx="1">
                  <c:v>4085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2225</c:v>
                </c:pt>
                <c:pt idx="7">
                  <c:v>7327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3AE0-42BC-BFCC-CAAE6BE22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6479775"/>
        <c:axId val="1286486975"/>
      </c:barChart>
      <c:catAx>
        <c:axId val="128647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>
                    <a:solidFill>
                      <a:sysClr val="windowText" lastClr="000000"/>
                    </a:solidFill>
                  </a:rPr>
                  <a:t>Years</a:t>
                </a:r>
              </a:p>
            </c:rich>
          </c:tx>
          <c:layout>
            <c:manualLayout>
              <c:xMode val="edge"/>
              <c:yMode val="edge"/>
              <c:x val="0.44796814743073204"/>
              <c:y val="0.888955380577427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486975"/>
        <c:crosses val="autoZero"/>
        <c:auto val="1"/>
        <c:lblAlgn val="ctr"/>
        <c:lblOffset val="100"/>
        <c:noMultiLvlLbl val="0"/>
      </c:catAx>
      <c:valAx>
        <c:axId val="128648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>
                    <a:solidFill>
                      <a:sysClr val="windowText" lastClr="000000"/>
                    </a:solidFill>
                  </a:rPr>
                  <a:t>Quantity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47977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 Per Region</a:t>
            </a:r>
          </a:p>
        </c:rich>
      </c:tx>
      <c:layout>
        <c:manualLayout>
          <c:xMode val="edge"/>
          <c:yMode val="edge"/>
          <c:x val="0.3250400330041159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26524484045647878"/>
          <c:w val="0.62415365605072559"/>
          <c:h val="0.68420212003725789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CADB-42E8-B501-28B7A74399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ADB-42E8-B501-28B7A74399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CADB-42E8-B501-28B7A74399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8-CADB-42E8-B501-28B7A743996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6-CADB-42E8-B501-28B7A743996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CADB-42E8-B501-28B7A743996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CADB-42E8-B501-28B7A743996F}"/>
              </c:ext>
            </c:extLst>
          </c:dPt>
          <c:dLbls>
            <c:dLbl>
              <c:idx val="0"/>
              <c:layout>
                <c:manualLayout>
                  <c:x val="3.3703126389565102E-2"/>
                  <c:y val="4.971660847836661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ADB-42E8-B501-28B7A743996F}"/>
                </c:ext>
              </c:extLst>
            </c:dLbl>
            <c:dLbl>
              <c:idx val="1"/>
              <c:layout>
                <c:manualLayout>
                  <c:x val="3.8459710608463017E-2"/>
                  <c:y val="-6.265823482507361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ADB-42E8-B501-28B7A743996F}"/>
                </c:ext>
              </c:extLst>
            </c:dLbl>
            <c:dLbl>
              <c:idx val="2"/>
              <c:layout>
                <c:manualLayout>
                  <c:x val="9.9741146814478678E-3"/>
                  <c:y val="9.752750785957593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ADB-42E8-B501-28B7A743996F}"/>
                </c:ext>
              </c:extLst>
            </c:dLbl>
            <c:dLbl>
              <c:idx val="3"/>
              <c:layout>
                <c:manualLayout>
                  <c:x val="1.2929468153830169E-2"/>
                  <c:y val="-9.7112809914535483E-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ADB-42E8-B501-28B7A743996F}"/>
                </c:ext>
              </c:extLst>
            </c:dLbl>
            <c:dLbl>
              <c:idx val="4"/>
              <c:layout>
                <c:manualLayout>
                  <c:x val="-1.8505698835838306E-2"/>
                  <c:y val="-6.443566171356340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ADB-42E8-B501-28B7A743996F}"/>
                </c:ext>
              </c:extLst>
            </c:dLbl>
            <c:dLbl>
              <c:idx val="5"/>
              <c:layout>
                <c:manualLayout>
                  <c:x val="-2.6050297929626265E-2"/>
                  <c:y val="-0.2057227266547366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ADB-42E8-B501-28B7A743996F}"/>
                </c:ext>
              </c:extLst>
            </c:dLbl>
            <c:dLbl>
              <c:idx val="6"/>
              <c:layout>
                <c:manualLayout>
                  <c:x val="3.2184711850777675E-2"/>
                  <c:y val="-0.1276461272198807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ADB-42E8-B501-28B7A743996F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Tables_Charts!$S$45:$S$51</c:f>
              <c:strCache>
                <c:ptCount val="7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</c:strCache>
            </c:strRef>
          </c:cat>
          <c:val>
            <c:numRef>
              <c:f>Tables_Charts!$T$45:$T$51</c:f>
              <c:numCache>
                <c:formatCode>_(* #,##0.00_);_(* \(#,##0.00\);_(* "-"??_);_(@_)</c:formatCode>
                <c:ptCount val="7"/>
                <c:pt idx="0">
                  <c:v>21347091.020000003</c:v>
                </c:pt>
                <c:pt idx="1">
                  <c:v>14094265.130000003</c:v>
                </c:pt>
                <c:pt idx="2">
                  <c:v>9170385.4900000002</c:v>
                </c:pt>
                <c:pt idx="3">
                  <c:v>33368932.109999999</c:v>
                </c:pt>
                <c:pt idx="4">
                  <c:v>14052706.58</c:v>
                </c:pt>
                <c:pt idx="5">
                  <c:v>5643356.5500000007</c:v>
                </c:pt>
                <c:pt idx="6">
                  <c:v>39672031.430000007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DB-42E8-B501-28B7A743996F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2D90-44A5-9A72-700ADAB514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2D90-44A5-9A72-700ADAB514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2D90-44A5-9A72-700ADAB514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2D90-44A5-9A72-700ADAB5140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2D90-44A5-9A72-700ADAB5140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2D90-44A5-9A72-700ADAB5140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2D90-44A5-9A72-700ADAB5140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Tables_Charts!$S$45:$S$51</c:f>
              <c:strCache>
                <c:ptCount val="7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</c:strCache>
            </c:strRef>
          </c:cat>
          <c:val>
            <c:numRef>
              <c:f>Tables_Charts!$U$45:$U$51</c:f>
              <c:numCache>
                <c:formatCode>0.00</c:formatCode>
                <c:ptCount val="7"/>
                <c:pt idx="0">
                  <c:v>15.542251512455522</c:v>
                </c:pt>
                <c:pt idx="1">
                  <c:v>10.261661100730699</c:v>
                </c:pt>
                <c:pt idx="2">
                  <c:v>6.6767147625977863</c:v>
                </c:pt>
                <c:pt idx="3">
                  <c:v>24.295035565725197</c:v>
                </c:pt>
                <c:pt idx="4">
                  <c:v>10.231403421312558</c:v>
                </c:pt>
                <c:pt idx="5">
                  <c:v>4.1087784182110658</c:v>
                </c:pt>
                <c:pt idx="6">
                  <c:v>28.884155218967184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DB-42E8-B501-28B7A743996F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288223378841463"/>
          <c:y val="0.23101621900640662"/>
          <c:w val="0.29337206422381612"/>
          <c:h val="0.72917141578136691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5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ysClr val="windowText" lastClr="000000"/>
                </a:solidFill>
              </a:rPr>
              <a:t>Gross Profit Margin Per Item Type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5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7611840895866212E-2"/>
          <c:y val="0.28918687839605334"/>
          <c:w val="0.91407413652871705"/>
          <c:h val="0.33018934506096442"/>
        </c:manualLayout>
      </c:layout>
      <c:bar3DChart>
        <c:barDir val="col"/>
        <c:grouping val="clustered"/>
        <c:varyColors val="0"/>
        <c:ser>
          <c:idx val="2"/>
          <c:order val="2"/>
          <c:tx>
            <c:v>Item Types</c:v>
          </c:tx>
          <c:spPr>
            <a:solidFill>
              <a:schemeClr val="accent1">
                <a:tint val="65000"/>
              </a:schemeClr>
            </a:solidFill>
            <a:ln>
              <a:solidFill>
                <a:schemeClr val="accent1">
                  <a:tint val="65000"/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1">
                  <a:tint val="65000"/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Tables_Charts!$S$56:$S$67</c:f>
              <c:strCache>
                <c:ptCount val="12"/>
                <c:pt idx="0">
                  <c:v>Baby Food</c:v>
                </c:pt>
                <c:pt idx="1">
                  <c:v>Cereal</c:v>
                </c:pt>
                <c:pt idx="2">
                  <c:v>Office Supplies</c:v>
                </c:pt>
                <c:pt idx="3">
                  <c:v>Fruits</c:v>
                </c:pt>
                <c:pt idx="4">
                  <c:v>Household</c:v>
                </c:pt>
                <c:pt idx="5">
                  <c:v>Vegetables</c:v>
                </c:pt>
                <c:pt idx="6">
                  <c:v>Personal Care</c:v>
                </c:pt>
                <c:pt idx="7">
                  <c:v>Clothes</c:v>
                </c:pt>
                <c:pt idx="8">
                  <c:v>Cosmetics</c:v>
                </c:pt>
                <c:pt idx="9">
                  <c:v>Beverages</c:v>
                </c:pt>
                <c:pt idx="10">
                  <c:v>Meat</c:v>
                </c:pt>
                <c:pt idx="11">
                  <c:v>Snacks</c:v>
                </c:pt>
              </c:strCache>
            </c:strRef>
          </c:cat>
          <c:val>
            <c:numRef>
              <c:f>Tables_Charts!$V$56:$V$67</c:f>
              <c:numCache>
                <c:formatCode>0</c:formatCode>
                <c:ptCount val="12"/>
                <c:pt idx="0">
                  <c:v>37.550924475086184</c:v>
                </c:pt>
                <c:pt idx="1">
                  <c:v>43.067574137092848</c:v>
                </c:pt>
                <c:pt idx="2">
                  <c:v>19.386987300563565</c:v>
                </c:pt>
                <c:pt idx="3">
                  <c:v>25.830653804930332</c:v>
                </c:pt>
                <c:pt idx="4">
                  <c:v>24.799856345489104</c:v>
                </c:pt>
                <c:pt idx="5">
                  <c:v>40.97754121770739</c:v>
                </c:pt>
                <c:pt idx="6">
                  <c:v>30.661935641747213</c:v>
                </c:pt>
                <c:pt idx="7">
                  <c:v>67.203513909224029</c:v>
                </c:pt>
                <c:pt idx="8">
                  <c:v>39.768984446477582</c:v>
                </c:pt>
                <c:pt idx="9">
                  <c:v>33.003161222339301</c:v>
                </c:pt>
                <c:pt idx="10">
                  <c:v>13.558036455000119</c:v>
                </c:pt>
                <c:pt idx="11">
                  <c:v>36.138419189933153</c:v>
                </c:pt>
              </c:numCache>
            </c:numRef>
          </c:val>
          <c:shape val="pyramid"/>
          <c:extLst>
            <c:ext xmlns:c16="http://schemas.microsoft.com/office/drawing/2014/chart" uri="{C3380CC4-5D6E-409C-BE32-E72D297353CC}">
              <c16:uniqueId val="{00000002-2292-4693-B047-206980981D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693905951"/>
        <c:axId val="1693906911"/>
        <c:axId val="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>
                      <a:shade val="65000"/>
                    </a:schemeClr>
                  </a:solidFill>
                  <a:ln>
                    <a:solidFill>
                      <a:schemeClr val="accent1">
                        <a:shade val="65000"/>
                        <a:lumMod val="75000"/>
                      </a:schemeClr>
                    </a:solidFill>
                  </a:ln>
                  <a:effectLst/>
                  <a:scene3d>
                    <a:camera prst="orthographicFront"/>
                    <a:lightRig rig="threePt" dir="t"/>
                  </a:scene3d>
                  <a:sp3d prstMaterial="translucentPowder">
                    <a:contourClr>
                      <a:schemeClr val="accent1">
                        <a:shade val="65000"/>
                        <a:lumMod val="75000"/>
                      </a:schemeClr>
                    </a:contourClr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Tables_Charts!$S$56:$S$67</c15:sqref>
                        </c15:formulaRef>
                      </c:ext>
                    </c:extLst>
                    <c:strCache>
                      <c:ptCount val="12"/>
                      <c:pt idx="0">
                        <c:v>Baby Food</c:v>
                      </c:pt>
                      <c:pt idx="1">
                        <c:v>Cereal</c:v>
                      </c:pt>
                      <c:pt idx="2">
                        <c:v>Office Supplies</c:v>
                      </c:pt>
                      <c:pt idx="3">
                        <c:v>Fruits</c:v>
                      </c:pt>
                      <c:pt idx="4">
                        <c:v>Household</c:v>
                      </c:pt>
                      <c:pt idx="5">
                        <c:v>Vegetables</c:v>
                      </c:pt>
                      <c:pt idx="6">
                        <c:v>Personal Care</c:v>
                      </c:pt>
                      <c:pt idx="7">
                        <c:v>Clothes</c:v>
                      </c:pt>
                      <c:pt idx="8">
                        <c:v>Cosmetics</c:v>
                      </c:pt>
                      <c:pt idx="9">
                        <c:v>Beverages</c:v>
                      </c:pt>
                      <c:pt idx="10">
                        <c:v>Meat</c:v>
                      </c:pt>
                      <c:pt idx="11">
                        <c:v>Snacks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Tables_Charts!$T$56:$T$67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2"/>
                      <c:pt idx="0">
                        <c:v>10350327.6</c:v>
                      </c:pt>
                      <c:pt idx="1">
                        <c:v>5322898.9000000004</c:v>
                      </c:pt>
                      <c:pt idx="2">
                        <c:v>30585380.07</c:v>
                      </c:pt>
                      <c:pt idx="3">
                        <c:v>466481.34</c:v>
                      </c:pt>
                      <c:pt idx="4">
                        <c:v>29889712.289999995</c:v>
                      </c:pt>
                      <c:pt idx="5">
                        <c:v>3089057.06</c:v>
                      </c:pt>
                      <c:pt idx="6">
                        <c:v>3980904.8400000003</c:v>
                      </c:pt>
                      <c:pt idx="7">
                        <c:v>7787292.799999998</c:v>
                      </c:pt>
                      <c:pt idx="8">
                        <c:v>36601509.600000001</c:v>
                      </c:pt>
                      <c:pt idx="9">
                        <c:v>2690794.6</c:v>
                      </c:pt>
                      <c:pt idx="10">
                        <c:v>4503675.75</c:v>
                      </c:pt>
                      <c:pt idx="11">
                        <c:v>2080733.46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292-4693-B047-206980981D5F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1"/>
                  </a:solidFill>
                  <a:ln>
                    <a:solidFill>
                      <a:schemeClr val="accent1">
                        <a:lumMod val="75000"/>
                      </a:schemeClr>
                    </a:solidFill>
                  </a:ln>
                  <a:effectLst/>
                  <a:scene3d>
                    <a:camera prst="orthographicFront"/>
                    <a:lightRig rig="threePt" dir="t"/>
                  </a:scene3d>
                  <a:sp3d prstMaterial="translucentPowder">
                    <a:contourClr>
                      <a:schemeClr val="accent1">
                        <a:lumMod val="75000"/>
                      </a:schemeClr>
                    </a:contourClr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Tables_Charts!$S$56:$S$67</c15:sqref>
                        </c15:formulaRef>
                      </c:ext>
                    </c:extLst>
                    <c:strCache>
                      <c:ptCount val="12"/>
                      <c:pt idx="0">
                        <c:v>Baby Food</c:v>
                      </c:pt>
                      <c:pt idx="1">
                        <c:v>Cereal</c:v>
                      </c:pt>
                      <c:pt idx="2">
                        <c:v>Office Supplies</c:v>
                      </c:pt>
                      <c:pt idx="3">
                        <c:v>Fruits</c:v>
                      </c:pt>
                      <c:pt idx="4">
                        <c:v>Household</c:v>
                      </c:pt>
                      <c:pt idx="5">
                        <c:v>Vegetables</c:v>
                      </c:pt>
                      <c:pt idx="6">
                        <c:v>Personal Care</c:v>
                      </c:pt>
                      <c:pt idx="7">
                        <c:v>Clothes</c:v>
                      </c:pt>
                      <c:pt idx="8">
                        <c:v>Cosmetics</c:v>
                      </c:pt>
                      <c:pt idx="9">
                        <c:v>Beverages</c:v>
                      </c:pt>
                      <c:pt idx="10">
                        <c:v>Meat</c:v>
                      </c:pt>
                      <c:pt idx="11">
                        <c:v>Snacks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Tables_Charts!$U$56:$U$67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2"/>
                      <c:pt idx="0">
                        <c:v>3886643.7</c:v>
                      </c:pt>
                      <c:pt idx="1">
                        <c:v>2292443.4299999997</c:v>
                      </c:pt>
                      <c:pt idx="2">
                        <c:v>5929583.75</c:v>
                      </c:pt>
                      <c:pt idx="3">
                        <c:v>120495.18</c:v>
                      </c:pt>
                      <c:pt idx="4">
                        <c:v>7412605.7100000009</c:v>
                      </c:pt>
                      <c:pt idx="5">
                        <c:v>1265819.6300000001</c:v>
                      </c:pt>
                      <c:pt idx="6">
                        <c:v>1220622.48</c:v>
                      </c:pt>
                      <c:pt idx="7">
                        <c:v>5233334.4000000004</c:v>
                      </c:pt>
                      <c:pt idx="8">
                        <c:v>14556048.66</c:v>
                      </c:pt>
                      <c:pt idx="9">
                        <c:v>888047.27999999991</c:v>
                      </c:pt>
                      <c:pt idx="10">
                        <c:v>610610</c:v>
                      </c:pt>
                      <c:pt idx="11">
                        <c:v>751944.18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292-4693-B047-206980981D5F}"/>
                  </c:ext>
                </c:extLst>
              </c15:ser>
            </c15:filteredBarSeries>
          </c:ext>
        </c:extLst>
      </c:bar3DChart>
      <c:catAx>
        <c:axId val="169390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906911"/>
        <c:crosses val="autoZero"/>
        <c:auto val="1"/>
        <c:lblAlgn val="ctr"/>
        <c:lblOffset val="100"/>
        <c:noMultiLvlLbl val="0"/>
      </c:catAx>
      <c:valAx>
        <c:axId val="169390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>
                    <a:solidFill>
                      <a:sysClr val="windowText" lastClr="000000"/>
                    </a:solidFill>
                  </a:rPr>
                  <a:t>Percentage</a:t>
                </a:r>
              </a:p>
              <a:p>
                <a:pPr>
                  <a:defRPr sz="1200" b="1">
                    <a:solidFill>
                      <a:sysClr val="windowText" lastClr="000000"/>
                    </a:solidFill>
                  </a:defRPr>
                </a:pPr>
                <a:endParaRPr lang="en-GB" sz="12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556241933846667E-3"/>
              <c:y val="0.347141741061631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90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ysClr val="windowText" lastClr="000000"/>
                </a:solidFill>
              </a:rPr>
              <a:t>Average</a:t>
            </a:r>
            <a:r>
              <a:rPr lang="en-GB" sz="1200" b="1" baseline="0">
                <a:solidFill>
                  <a:sysClr val="windowText" lastClr="000000"/>
                </a:solidFill>
              </a:rPr>
              <a:t> Profit Per Year</a:t>
            </a:r>
            <a:endParaRPr lang="en-GB" sz="12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9737050072408363"/>
          <c:y val="0.17480746240781989"/>
          <c:w val="0.77586551413577143"/>
          <c:h val="0.57458398268718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Tables_Charts!$S$72:$S$79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Tables_Charts!$T$72:$T$79</c:f>
              <c:numCache>
                <c:formatCode>_(* #,##0.00_);_(* \(#,##0.00\);_(* "-"??_);_(@_)</c:formatCode>
                <c:ptCount val="8"/>
                <c:pt idx="0">
                  <c:v>662956.74300000002</c:v>
                </c:pt>
                <c:pt idx="1">
                  <c:v>228417.35250000004</c:v>
                </c:pt>
                <c:pt idx="2">
                  <c:v>418773.18727272731</c:v>
                </c:pt>
                <c:pt idx="3">
                  <c:v>559618.33666666655</c:v>
                </c:pt>
                <c:pt idx="4">
                  <c:v>391964.11199999996</c:v>
                </c:pt>
                <c:pt idx="5">
                  <c:v>363321.76727272733</c:v>
                </c:pt>
                <c:pt idx="6">
                  <c:v>490383.80099999998</c:v>
                </c:pt>
                <c:pt idx="7">
                  <c:v>511169.18125000002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12-40B2-9849-4C0A96635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2631135"/>
        <c:axId val="1422631615"/>
      </c:barChart>
      <c:catAx>
        <c:axId val="1422631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>
                    <a:solidFill>
                      <a:sysClr val="windowText" lastClr="000000"/>
                    </a:solidFill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631615"/>
        <c:crosses val="autoZero"/>
        <c:auto val="1"/>
        <c:lblAlgn val="ctr"/>
        <c:lblOffset val="100"/>
        <c:noMultiLvlLbl val="0"/>
      </c:catAx>
      <c:valAx>
        <c:axId val="142263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Average</a:t>
                </a:r>
                <a:r>
                  <a:rPr lang="en-GB" sz="1200" b="1" baseline="0"/>
                  <a:t> Profit (£)</a:t>
                </a:r>
                <a:endParaRPr lang="en-GB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631135"/>
        <c:crosses val="autoZero"/>
        <c:crossBetween val="between"/>
      </c:valAx>
      <c:spPr>
        <a:solidFill>
          <a:schemeClr val="accent3">
            <a:lumMod val="40000"/>
            <a:lumOff val="60000"/>
          </a:schemeClr>
        </a:solidFill>
        <a:ln>
          <a:solidFill>
            <a:schemeClr val="accent4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ysClr val="windowText" lastClr="000000"/>
                </a:solidFill>
                <a:latin typeface="+mj-lt"/>
                <a:ea typeface="+mj-ea"/>
                <a:cs typeface="+mj-cs"/>
              </a:defRPr>
            </a:pPr>
            <a:r>
              <a:rPr lang="en-GB" sz="1200">
                <a:solidFill>
                  <a:sysClr val="windowText" lastClr="000000"/>
                </a:solidFill>
              </a:rPr>
              <a:t>The Four</a:t>
            </a:r>
            <a:r>
              <a:rPr lang="en-GB" sz="1200" baseline="0">
                <a:solidFill>
                  <a:sysClr val="windowText" lastClr="000000"/>
                </a:solidFill>
              </a:rPr>
              <a:t> Topmost Revenue-Generating Countries</a:t>
            </a:r>
            <a:r>
              <a:rPr lang="en-GB" sz="1200">
                <a:solidFill>
                  <a:sysClr val="windowText" lastClr="000000"/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0" normalizeH="0" baseline="0">
              <a:solidFill>
                <a:sysClr val="windowText" lastClr="000000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Tables_Charts!$V$83:$V$86</c:f>
              <c:strCache>
                <c:ptCount val="4"/>
                <c:pt idx="0">
                  <c:v>Honduras</c:v>
                </c:pt>
                <c:pt idx="1">
                  <c:v>Myanmar</c:v>
                </c:pt>
                <c:pt idx="2">
                  <c:v>Djibouti</c:v>
                </c:pt>
                <c:pt idx="3">
                  <c:v>Turkmenistan</c:v>
                </c:pt>
              </c:strCache>
            </c:strRef>
          </c:cat>
          <c:val>
            <c:numRef>
              <c:f>Tables_Charts!$W$83:$W$86</c:f>
              <c:numCache>
                <c:formatCode>_(* #,##0.00_);_(* \(#,##0.00\);_(* "-"??_);_(@_)</c:formatCode>
                <c:ptCount val="4"/>
                <c:pt idx="0">
                  <c:v>6336545.4800000004</c:v>
                </c:pt>
                <c:pt idx="1">
                  <c:v>6161257.9000000004</c:v>
                </c:pt>
                <c:pt idx="2">
                  <c:v>6052890.8600000003</c:v>
                </c:pt>
                <c:pt idx="3">
                  <c:v>5822036.2000000002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6-479F-8A40-FA685936DE8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1720834015"/>
        <c:axId val="1720832095"/>
      </c:barChart>
      <c:catAx>
        <c:axId val="1720834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Countries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832095"/>
        <c:crosses val="autoZero"/>
        <c:auto val="1"/>
        <c:lblAlgn val="ctr"/>
        <c:lblOffset val="100"/>
        <c:noMultiLvlLbl val="0"/>
      </c:catAx>
      <c:valAx>
        <c:axId val="172083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Revenue</a:t>
                </a:r>
                <a:r>
                  <a:rPr lang="en-GB" sz="1200" baseline="0"/>
                  <a:t> (£)</a:t>
                </a:r>
                <a:endParaRPr lang="en-GB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83401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ysClr val="windowText" lastClr="000000"/>
                </a:solidFill>
              </a:rPr>
              <a:t>The Four Lowest Revenue-Generating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Tables_Charts!$V$89:$V$92</c:f>
              <c:strCache>
                <c:ptCount val="4"/>
                <c:pt idx="0">
                  <c:v>Kuwait</c:v>
                </c:pt>
                <c:pt idx="1">
                  <c:v>Kyrgyzstan</c:v>
                </c:pt>
                <c:pt idx="2">
                  <c:v>New Zealand</c:v>
                </c:pt>
                <c:pt idx="3">
                  <c:v>Slovakia</c:v>
                </c:pt>
              </c:strCache>
            </c:strRef>
          </c:cat>
          <c:val>
            <c:numRef>
              <c:f>Tables_Charts!$W$89:$W$92</c:f>
              <c:numCache>
                <c:formatCode>_(* #,##0.00_);_(* \(#,##0.00\);_(* "-"??_);_(@_)</c:formatCode>
                <c:ptCount val="4"/>
                <c:pt idx="0">
                  <c:v>4870.26</c:v>
                </c:pt>
                <c:pt idx="1">
                  <c:v>19103.439999999999</c:v>
                </c:pt>
                <c:pt idx="2">
                  <c:v>20404.71</c:v>
                </c:pt>
                <c:pt idx="3">
                  <c:v>26344.26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1-41E1-8498-976C9F7C2D2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733613759"/>
        <c:axId val="1733617119"/>
      </c:barChart>
      <c:catAx>
        <c:axId val="1733613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Countries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617119"/>
        <c:crosses val="autoZero"/>
        <c:auto val="1"/>
        <c:lblAlgn val="ctr"/>
        <c:lblOffset val="100"/>
        <c:noMultiLvlLbl val="0"/>
      </c:catAx>
      <c:valAx>
        <c:axId val="1733617119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Revenue (£)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crossAx val="173361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j-ea"/>
                <a:cs typeface="+mj-cs"/>
              </a:defRPr>
            </a:pPr>
            <a:r>
              <a:rPr lang="en-GB" sz="1200">
                <a:solidFill>
                  <a:sysClr val="windowText" lastClr="000000"/>
                </a:solidFill>
                <a:latin typeface="+mn-lt"/>
              </a:rPr>
              <a:t>Revenue</a:t>
            </a:r>
            <a:r>
              <a:rPr lang="en-GB" sz="1200" baseline="0">
                <a:solidFill>
                  <a:sysClr val="windowText" lastClr="000000"/>
                </a:solidFill>
                <a:latin typeface="+mn-lt"/>
              </a:rPr>
              <a:t> Growth Year-on-Year</a:t>
            </a:r>
            <a:endParaRPr lang="en-GB" sz="1200">
              <a:solidFill>
                <a:sysClr val="windowText" lastClr="000000"/>
              </a:solidFill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0" normalizeH="0" baseline="0">
              <a:solidFill>
                <a:sysClr val="windowText" lastClr="000000"/>
              </a:solidFill>
              <a:latin typeface="+mn-lt"/>
              <a:ea typeface="+mj-ea"/>
              <a:cs typeface="+mj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Tables_Charts!$S$163:$S$170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Tables_Charts!$T$163:$T$170</c:f>
              <c:numCache>
                <c:formatCode>_(* #,##0.00_);_(* \(#,##0.00\);_(* "-"??_);_(@_)</c:formatCode>
                <c:ptCount val="8"/>
                <c:pt idx="0">
                  <c:v>19186024.920000002</c:v>
                </c:pt>
                <c:pt idx="1">
                  <c:v>11129166.07</c:v>
                </c:pt>
                <c:pt idx="2">
                  <c:v>31898644.52</c:v>
                </c:pt>
                <c:pt idx="3">
                  <c:v>20330448.66</c:v>
                </c:pt>
                <c:pt idx="4">
                  <c:v>16630214.430000002</c:v>
                </c:pt>
                <c:pt idx="5">
                  <c:v>12427982.860000001</c:v>
                </c:pt>
                <c:pt idx="6">
                  <c:v>12372867.219999999</c:v>
                </c:pt>
                <c:pt idx="7">
                  <c:v>13373419.629999999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75-443E-A87F-22EDF82AF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3619039"/>
        <c:axId val="1733616159"/>
      </c:lineChart>
      <c:catAx>
        <c:axId val="173361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Years</a:t>
                </a:r>
              </a:p>
            </c:rich>
          </c:tx>
          <c:layout>
            <c:manualLayout>
              <c:xMode val="edge"/>
              <c:yMode val="edge"/>
              <c:x val="0.54016744876587397"/>
              <c:y val="0.864992364166806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616159"/>
        <c:crosses val="autoZero"/>
        <c:auto val="1"/>
        <c:lblAlgn val="ctr"/>
        <c:lblOffset val="100"/>
        <c:noMultiLvlLbl val="0"/>
      </c:catAx>
      <c:valAx>
        <c:axId val="173361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Revenue</a:t>
                </a:r>
                <a:r>
                  <a:rPr lang="en-GB" sz="1200" baseline="0">
                    <a:solidFill>
                      <a:sysClr val="windowText" lastClr="000000"/>
                    </a:solidFill>
                  </a:rPr>
                  <a:t> (£)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61903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5</xdr:col>
      <xdr:colOff>9525</xdr:colOff>
      <xdr:row>9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6A4AE4-C3C6-40B9-8E3D-C00C3C6926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</xdr:row>
      <xdr:rowOff>0</xdr:rowOff>
    </xdr:from>
    <xdr:to>
      <xdr:col>10</xdr:col>
      <xdr:colOff>9525</xdr:colOff>
      <xdr:row>10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DDD190-AA8A-4BB5-BFDA-259F429BD1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19051</xdr:colOff>
      <xdr:row>1</xdr:row>
      <xdr:rowOff>0</xdr:rowOff>
    </xdr:from>
    <xdr:to>
      <xdr:col>15</xdr:col>
      <xdr:colOff>1</xdr:colOff>
      <xdr:row>10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A2E62A-E6E1-451E-AC4A-7E31B730FB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</xdr:row>
      <xdr:rowOff>180975</xdr:rowOff>
    </xdr:from>
    <xdr:to>
      <xdr:col>5</xdr:col>
      <xdr:colOff>19050</xdr:colOff>
      <xdr:row>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6E6BA60-A62C-4B6C-A4DA-491870C408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600075</xdr:colOff>
      <xdr:row>10</xdr:row>
      <xdr:rowOff>1</xdr:rowOff>
    </xdr:from>
    <xdr:to>
      <xdr:col>10</xdr:col>
      <xdr:colOff>19050</xdr:colOff>
      <xdr:row>20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33FAAB-9405-4727-B08B-E96282C92D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19051</xdr:colOff>
      <xdr:row>10</xdr:row>
      <xdr:rowOff>0</xdr:rowOff>
    </xdr:from>
    <xdr:to>
      <xdr:col>15</xdr:col>
      <xdr:colOff>0</xdr:colOff>
      <xdr:row>20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BBE3550-9E13-463D-B179-BE32AB114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20</xdr:row>
      <xdr:rowOff>1</xdr:rowOff>
    </xdr:from>
    <xdr:to>
      <xdr:col>4</xdr:col>
      <xdr:colOff>600075</xdr:colOff>
      <xdr:row>30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67185C8-3FDF-4E55-BB3C-5CCD9B9B90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0</xdr:colOff>
      <xdr:row>20</xdr:row>
      <xdr:rowOff>19051</xdr:rowOff>
    </xdr:from>
    <xdr:to>
      <xdr:col>10</xdr:col>
      <xdr:colOff>28575</xdr:colOff>
      <xdr:row>31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CE4ACEE-6D1C-4478-94ED-7E975E6575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19050</xdr:colOff>
      <xdr:row>20</xdr:row>
      <xdr:rowOff>28575</xdr:rowOff>
    </xdr:from>
    <xdr:to>
      <xdr:col>15</xdr:col>
      <xdr:colOff>0</xdr:colOff>
      <xdr:row>31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CD7A74D-EFF1-4178-9FD9-B84FA52C74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323849</xdr:colOff>
      <xdr:row>3</xdr:row>
      <xdr:rowOff>0</xdr:rowOff>
    </xdr:from>
    <xdr:to>
      <xdr:col>24</xdr:col>
      <xdr:colOff>190499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014058-13F6-38F9-C845-CD37E4830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57149</xdr:colOff>
      <xdr:row>14</xdr:row>
      <xdr:rowOff>19051</xdr:rowOff>
    </xdr:from>
    <xdr:to>
      <xdr:col>24</xdr:col>
      <xdr:colOff>209550</xdr:colOff>
      <xdr:row>24</xdr:row>
      <xdr:rowOff>171451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1E4B87-5E82-4BE1-420A-57A8E6BB0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247650</xdr:colOff>
      <xdr:row>27</xdr:row>
      <xdr:rowOff>57150</xdr:rowOff>
    </xdr:from>
    <xdr:to>
      <xdr:col>37</xdr:col>
      <xdr:colOff>400050</xdr:colOff>
      <xdr:row>41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54CC99A-9462-E5D6-FB9A-F9D3B52994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190499</xdr:colOff>
      <xdr:row>41</xdr:row>
      <xdr:rowOff>180974</xdr:rowOff>
    </xdr:from>
    <xdr:to>
      <xdr:col>26</xdr:col>
      <xdr:colOff>571500</xdr:colOff>
      <xdr:row>52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50FCCFE-393A-7A47-61D1-7FE5D9DA0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323850</xdr:colOff>
      <xdr:row>53</xdr:row>
      <xdr:rowOff>66675</xdr:rowOff>
    </xdr:from>
    <xdr:to>
      <xdr:col>27</xdr:col>
      <xdr:colOff>161925</xdr:colOff>
      <xdr:row>68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FF0E94B-C74D-86A9-783E-735D4AA0E8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333374</xdr:colOff>
      <xdr:row>68</xdr:row>
      <xdr:rowOff>180976</xdr:rowOff>
    </xdr:from>
    <xdr:to>
      <xdr:col>25</xdr:col>
      <xdr:colOff>123825</xdr:colOff>
      <xdr:row>78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E4C3F0F-9C77-2B98-E1D7-3F7704EDE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238123</xdr:colOff>
      <xdr:row>79</xdr:row>
      <xdr:rowOff>180976</xdr:rowOff>
    </xdr:from>
    <xdr:to>
      <xdr:col>28</xdr:col>
      <xdr:colOff>85724</xdr:colOff>
      <xdr:row>91</xdr:row>
      <xdr:rowOff>152400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1134FF2-A46E-7C01-C218-1DDFAC807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523875</xdr:colOff>
      <xdr:row>93</xdr:row>
      <xdr:rowOff>9525</xdr:rowOff>
    </xdr:from>
    <xdr:to>
      <xdr:col>28</xdr:col>
      <xdr:colOff>114300</xdr:colOff>
      <xdr:row>102</xdr:row>
      <xdr:rowOff>133350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1B254BD-01BC-68BD-E890-0E759A42F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190499</xdr:colOff>
      <xdr:row>158</xdr:row>
      <xdr:rowOff>180975</xdr:rowOff>
    </xdr:from>
    <xdr:to>
      <xdr:col>25</xdr:col>
      <xdr:colOff>761999</xdr:colOff>
      <xdr:row>171</xdr:row>
      <xdr:rowOff>57149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162F2BC-2E37-3A9F-6FA7-11199E41EB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9780A-1860-41D7-B2F1-BBCD1B90ECF3}">
  <sheetPr>
    <tabColor rgb="FF7030A0"/>
  </sheetPr>
  <dimension ref="A1:U2"/>
  <sheetViews>
    <sheetView tabSelected="1" topLeftCell="A8" zoomScaleNormal="100" workbookViewId="0">
      <selection sqref="A1:O1"/>
    </sheetView>
  </sheetViews>
  <sheetFormatPr defaultRowHeight="15" x14ac:dyDescent="0.25"/>
  <cols>
    <col min="7" max="7" width="9.140625" customWidth="1"/>
    <col min="15" max="15" width="9.140625" customWidth="1"/>
  </cols>
  <sheetData>
    <row r="1" spans="1:21" ht="23.25" customHeight="1" x14ac:dyDescent="0.25">
      <c r="A1" s="43" t="s">
        <v>145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1"/>
      <c r="Q1" s="41"/>
      <c r="R1" s="41"/>
      <c r="S1" s="41"/>
      <c r="T1" s="41"/>
      <c r="U1" s="41"/>
    </row>
    <row r="2" spans="1:21" x14ac:dyDescent="0.25">
      <c r="P2" s="42"/>
      <c r="Q2" s="42"/>
      <c r="R2" s="42"/>
      <c r="S2" s="42"/>
      <c r="T2" s="42"/>
      <c r="U2" s="42"/>
    </row>
  </sheetData>
  <mergeCells count="1">
    <mergeCell ref="A1:O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4A07C-5D79-4258-A4E1-8C7BD9F60BD2}">
  <sheetPr>
    <tabColor rgb="FF00B050"/>
  </sheetPr>
  <dimension ref="A1:AB171"/>
  <sheetViews>
    <sheetView topLeftCell="T153" workbookViewId="0">
      <selection activeCell="AB166" sqref="AB166"/>
    </sheetView>
  </sheetViews>
  <sheetFormatPr defaultRowHeight="15" x14ac:dyDescent="0.25"/>
  <cols>
    <col min="1" max="1" width="32.42578125" bestFit="1" customWidth="1"/>
    <col min="2" max="2" width="31.5703125" bestFit="1" customWidth="1"/>
    <col min="3" max="3" width="14.5703125" customWidth="1"/>
    <col min="4" max="4" width="13.42578125" bestFit="1" customWidth="1"/>
    <col min="5" max="5" width="13.28515625" bestFit="1" customWidth="1"/>
    <col min="6" max="6" width="10.7109375" style="2" bestFit="1" customWidth="1"/>
    <col min="7" max="7" width="5" style="3" bestFit="1" customWidth="1"/>
    <col min="8" max="8" width="10" style="1" bestFit="1" customWidth="1"/>
    <col min="9" max="9" width="10.7109375" style="2" bestFit="1" customWidth="1"/>
    <col min="10" max="10" width="11.28515625" style="5" bestFit="1" customWidth="1"/>
    <col min="11" max="11" width="12.42578125" style="1" bestFit="1" customWidth="1"/>
    <col min="12" max="12" width="11.85546875" style="1" bestFit="1" customWidth="1"/>
    <col min="13" max="13" width="17.42578125" style="4" bestFit="1" customWidth="1"/>
    <col min="14" max="14" width="14.140625" style="4" bestFit="1" customWidth="1"/>
    <col min="15" max="15" width="15.28515625" style="4" bestFit="1" customWidth="1"/>
    <col min="19" max="19" width="32.42578125" bestFit="1" customWidth="1"/>
    <col min="20" max="20" width="16.28515625" bestFit="1" customWidth="1"/>
    <col min="21" max="21" width="19.28515625" bestFit="1" customWidth="1"/>
    <col min="22" max="22" width="16.28515625" bestFit="1" customWidth="1"/>
    <col min="23" max="28" width="15.28515625" bestFit="1" customWidth="1"/>
  </cols>
  <sheetData>
    <row r="1" spans="1:20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4" t="s">
        <v>115</v>
      </c>
      <c r="H1" s="15" t="s">
        <v>6</v>
      </c>
      <c r="I1" s="13" t="s">
        <v>7</v>
      </c>
      <c r="J1" s="16" t="s">
        <v>8</v>
      </c>
      <c r="K1" s="15" t="s">
        <v>116</v>
      </c>
      <c r="L1" s="15" t="s">
        <v>117</v>
      </c>
      <c r="M1" s="17" t="s">
        <v>118</v>
      </c>
      <c r="N1" s="17" t="s">
        <v>119</v>
      </c>
      <c r="O1" s="17" t="s">
        <v>120</v>
      </c>
      <c r="S1" s="35" t="s">
        <v>142</v>
      </c>
    </row>
    <row r="2" spans="1:20" x14ac:dyDescent="0.25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7">
        <v>40326</v>
      </c>
      <c r="G2" s="8">
        <f>YEAR(F2)</f>
        <v>2010</v>
      </c>
      <c r="H2" s="9">
        <v>669165933</v>
      </c>
      <c r="I2" s="7">
        <v>40356</v>
      </c>
      <c r="J2" s="10">
        <v>9925</v>
      </c>
      <c r="K2" s="9">
        <v>255.28</v>
      </c>
      <c r="L2" s="9">
        <v>159.41999999999999</v>
      </c>
      <c r="M2" s="11">
        <v>2533654</v>
      </c>
      <c r="N2" s="11">
        <v>1582243.5</v>
      </c>
      <c r="O2" s="11">
        <v>951410.5</v>
      </c>
      <c r="S2" s="35" t="s">
        <v>143</v>
      </c>
    </row>
    <row r="3" spans="1:20" x14ac:dyDescent="0.25">
      <c r="A3" s="6" t="s">
        <v>19</v>
      </c>
      <c r="B3" s="6" t="s">
        <v>20</v>
      </c>
      <c r="C3" s="6" t="s">
        <v>21</v>
      </c>
      <c r="D3" s="6" t="s">
        <v>22</v>
      </c>
      <c r="E3" s="6" t="s">
        <v>23</v>
      </c>
      <c r="F3" s="7">
        <v>41143</v>
      </c>
      <c r="G3" s="8">
        <f>YEAR(F3)</f>
        <v>2012</v>
      </c>
      <c r="H3" s="9">
        <v>963881480</v>
      </c>
      <c r="I3" s="7">
        <v>41167</v>
      </c>
      <c r="J3" s="10">
        <v>2804</v>
      </c>
      <c r="K3" s="9">
        <v>205.7</v>
      </c>
      <c r="L3" s="9">
        <v>117.11</v>
      </c>
      <c r="M3" s="11">
        <v>576782.80000000005</v>
      </c>
      <c r="N3" s="11">
        <v>328376.44</v>
      </c>
      <c r="O3" s="11">
        <v>248406.36</v>
      </c>
    </row>
    <row r="4" spans="1:20" x14ac:dyDescent="0.25">
      <c r="A4" s="6" t="s">
        <v>24</v>
      </c>
      <c r="B4" s="6" t="s">
        <v>25</v>
      </c>
      <c r="C4" s="6" t="s">
        <v>26</v>
      </c>
      <c r="D4" s="6" t="s">
        <v>17</v>
      </c>
      <c r="E4" s="6" t="s">
        <v>27</v>
      </c>
      <c r="F4" s="7">
        <v>41761</v>
      </c>
      <c r="G4" s="8">
        <f>YEAR(F4)</f>
        <v>2014</v>
      </c>
      <c r="H4" s="9">
        <v>341417157</v>
      </c>
      <c r="I4" s="7">
        <v>41767</v>
      </c>
      <c r="J4" s="10">
        <v>1779</v>
      </c>
      <c r="K4" s="9">
        <v>651.21</v>
      </c>
      <c r="L4" s="9">
        <v>524.96</v>
      </c>
      <c r="M4" s="11">
        <v>1158502.5900000001</v>
      </c>
      <c r="N4" s="11">
        <v>933903.84</v>
      </c>
      <c r="O4" s="11">
        <v>224598.75</v>
      </c>
      <c r="S4" s="28" t="s">
        <v>131</v>
      </c>
      <c r="T4" s="28"/>
    </row>
    <row r="5" spans="1:20" x14ac:dyDescent="0.25">
      <c r="A5" s="6" t="s">
        <v>28</v>
      </c>
      <c r="B5" s="6" t="s">
        <v>29</v>
      </c>
      <c r="C5" s="6" t="s">
        <v>30</v>
      </c>
      <c r="D5" s="6" t="s">
        <v>22</v>
      </c>
      <c r="E5" s="6" t="s">
        <v>23</v>
      </c>
      <c r="F5" s="7">
        <v>41810</v>
      </c>
      <c r="G5" s="8">
        <f t="shared" ref="G5:G68" si="0">YEAR(F5)</f>
        <v>2014</v>
      </c>
      <c r="H5" s="9">
        <v>514321792</v>
      </c>
      <c r="I5" s="7">
        <v>41825</v>
      </c>
      <c r="J5" s="10">
        <v>8102</v>
      </c>
      <c r="K5" s="9">
        <v>9.33</v>
      </c>
      <c r="L5" s="9">
        <v>6.92</v>
      </c>
      <c r="M5" s="11">
        <v>75591.66</v>
      </c>
      <c r="N5" s="11">
        <v>56065.84</v>
      </c>
      <c r="O5" s="11">
        <v>19525.82</v>
      </c>
      <c r="S5" s="12" t="s">
        <v>121</v>
      </c>
      <c r="T5" s="19" t="s">
        <v>122</v>
      </c>
    </row>
    <row r="6" spans="1:20" x14ac:dyDescent="0.25">
      <c r="A6" s="6" t="s">
        <v>28</v>
      </c>
      <c r="B6" s="6" t="s">
        <v>31</v>
      </c>
      <c r="C6" s="6" t="s">
        <v>26</v>
      </c>
      <c r="D6" s="6" t="s">
        <v>17</v>
      </c>
      <c r="E6" s="6" t="s">
        <v>27</v>
      </c>
      <c r="F6" s="7">
        <v>41306</v>
      </c>
      <c r="G6" s="8">
        <f t="shared" si="0"/>
        <v>2013</v>
      </c>
      <c r="H6" s="9">
        <v>115456712</v>
      </c>
      <c r="I6" s="7">
        <v>41311</v>
      </c>
      <c r="J6" s="10">
        <v>5062</v>
      </c>
      <c r="K6" s="9">
        <v>651.21</v>
      </c>
      <c r="L6" s="9">
        <v>524.96</v>
      </c>
      <c r="M6" s="11">
        <v>3296425.02</v>
      </c>
      <c r="N6" s="11">
        <v>2657347.52</v>
      </c>
      <c r="O6" s="11">
        <v>639077.5</v>
      </c>
      <c r="S6" s="6" t="s">
        <v>41</v>
      </c>
      <c r="T6" s="18">
        <f>SUMIF($A$2:$A$101,S6,$O$2:$O$101)</f>
        <v>6113845.8700000001</v>
      </c>
    </row>
    <row r="7" spans="1:20" x14ac:dyDescent="0.25">
      <c r="A7" s="6" t="s">
        <v>14</v>
      </c>
      <c r="B7" s="6" t="s">
        <v>32</v>
      </c>
      <c r="C7" s="6" t="s">
        <v>16</v>
      </c>
      <c r="D7" s="6" t="s">
        <v>22</v>
      </c>
      <c r="E7" s="6" t="s">
        <v>23</v>
      </c>
      <c r="F7" s="7">
        <v>42039</v>
      </c>
      <c r="G7" s="8">
        <f t="shared" si="0"/>
        <v>2015</v>
      </c>
      <c r="H7" s="9">
        <v>547995746</v>
      </c>
      <c r="I7" s="7">
        <v>42056</v>
      </c>
      <c r="J7" s="10">
        <v>2974</v>
      </c>
      <c r="K7" s="9">
        <v>255.28</v>
      </c>
      <c r="L7" s="9">
        <v>159.41999999999999</v>
      </c>
      <c r="M7" s="11">
        <v>759202.72</v>
      </c>
      <c r="N7" s="11">
        <v>474115.08</v>
      </c>
      <c r="O7" s="11">
        <v>285087.64</v>
      </c>
      <c r="S7" s="6" t="s">
        <v>14</v>
      </c>
      <c r="T7" s="18">
        <f t="shared" ref="T7:T12" si="1">SUMIF($A$2:$A$101,S7,$O$2:$O$101)</f>
        <v>4722160.03</v>
      </c>
    </row>
    <row r="8" spans="1:20" x14ac:dyDescent="0.25">
      <c r="A8" s="6" t="s">
        <v>28</v>
      </c>
      <c r="B8" s="6" t="s">
        <v>33</v>
      </c>
      <c r="C8" s="6" t="s">
        <v>34</v>
      </c>
      <c r="D8" s="6" t="s">
        <v>17</v>
      </c>
      <c r="E8" s="6" t="s">
        <v>35</v>
      </c>
      <c r="F8" s="7">
        <v>40656</v>
      </c>
      <c r="G8" s="8">
        <f t="shared" si="0"/>
        <v>2011</v>
      </c>
      <c r="H8" s="9">
        <v>135425221</v>
      </c>
      <c r="I8" s="7">
        <v>40660</v>
      </c>
      <c r="J8" s="10">
        <v>4187</v>
      </c>
      <c r="K8" s="9">
        <v>668.27</v>
      </c>
      <c r="L8" s="9">
        <v>502.54</v>
      </c>
      <c r="M8" s="11">
        <v>2798046.49</v>
      </c>
      <c r="N8" s="11">
        <v>2104134.98</v>
      </c>
      <c r="O8" s="11">
        <v>693911.51</v>
      </c>
      <c r="S8" s="6" t="s">
        <v>19</v>
      </c>
      <c r="T8" s="18">
        <f t="shared" si="1"/>
        <v>2846907.85</v>
      </c>
    </row>
    <row r="9" spans="1:20" x14ac:dyDescent="0.25">
      <c r="A9" s="6" t="s">
        <v>28</v>
      </c>
      <c r="B9" s="6" t="s">
        <v>36</v>
      </c>
      <c r="C9" s="6" t="s">
        <v>37</v>
      </c>
      <c r="D9" s="6" t="s">
        <v>22</v>
      </c>
      <c r="E9" s="6" t="s">
        <v>18</v>
      </c>
      <c r="F9" s="7">
        <v>41107</v>
      </c>
      <c r="G9" s="8">
        <f t="shared" si="0"/>
        <v>2012</v>
      </c>
      <c r="H9" s="9">
        <v>871543967</v>
      </c>
      <c r="I9" s="7">
        <v>41117</v>
      </c>
      <c r="J9" s="10">
        <v>8082</v>
      </c>
      <c r="K9" s="9">
        <v>154.06</v>
      </c>
      <c r="L9" s="9">
        <v>90.93</v>
      </c>
      <c r="M9" s="11">
        <v>1245112.92</v>
      </c>
      <c r="N9" s="11">
        <v>734896.26</v>
      </c>
      <c r="O9" s="11">
        <v>510216.66</v>
      </c>
      <c r="S9" s="6" t="s">
        <v>24</v>
      </c>
      <c r="T9" s="18">
        <f t="shared" si="1"/>
        <v>11082938.629999999</v>
      </c>
    </row>
    <row r="10" spans="1:20" x14ac:dyDescent="0.25">
      <c r="A10" s="6" t="s">
        <v>28</v>
      </c>
      <c r="B10" s="6" t="s">
        <v>38</v>
      </c>
      <c r="C10" s="6" t="s">
        <v>39</v>
      </c>
      <c r="D10" s="6" t="s">
        <v>17</v>
      </c>
      <c r="E10" s="6" t="s">
        <v>35</v>
      </c>
      <c r="F10" s="7">
        <v>42199</v>
      </c>
      <c r="G10" s="8">
        <f t="shared" si="0"/>
        <v>2015</v>
      </c>
      <c r="H10" s="9">
        <v>770463311</v>
      </c>
      <c r="I10" s="7">
        <v>42241</v>
      </c>
      <c r="J10" s="10">
        <v>6070</v>
      </c>
      <c r="K10" s="9">
        <v>81.73</v>
      </c>
      <c r="L10" s="9">
        <v>56.67</v>
      </c>
      <c r="M10" s="11">
        <v>496101.1</v>
      </c>
      <c r="N10" s="11">
        <v>343986.9</v>
      </c>
      <c r="O10" s="11">
        <v>152114.20000000001</v>
      </c>
      <c r="S10" s="6" t="s">
        <v>71</v>
      </c>
      <c r="T10" s="18">
        <f t="shared" si="1"/>
        <v>5761191.8599999994</v>
      </c>
    </row>
    <row r="11" spans="1:20" x14ac:dyDescent="0.25">
      <c r="A11" s="6" t="s">
        <v>28</v>
      </c>
      <c r="B11" s="6" t="s">
        <v>40</v>
      </c>
      <c r="C11" s="6" t="s">
        <v>21</v>
      </c>
      <c r="D11" s="6" t="s">
        <v>22</v>
      </c>
      <c r="E11" s="6" t="s">
        <v>18</v>
      </c>
      <c r="F11" s="7">
        <v>41747</v>
      </c>
      <c r="G11" s="8">
        <f t="shared" si="0"/>
        <v>2014</v>
      </c>
      <c r="H11" s="9">
        <v>616607081</v>
      </c>
      <c r="I11" s="7">
        <v>41789</v>
      </c>
      <c r="J11" s="10">
        <v>6593</v>
      </c>
      <c r="K11" s="9">
        <v>205.7</v>
      </c>
      <c r="L11" s="9">
        <v>117.11</v>
      </c>
      <c r="M11" s="11">
        <v>1356180.1</v>
      </c>
      <c r="N11" s="11">
        <v>772106.23</v>
      </c>
      <c r="O11" s="11">
        <v>584073.87</v>
      </c>
      <c r="S11" s="6" t="s">
        <v>98</v>
      </c>
      <c r="T11" s="18">
        <f t="shared" si="1"/>
        <v>1457942.76</v>
      </c>
    </row>
    <row r="12" spans="1:20" x14ac:dyDescent="0.25">
      <c r="A12" s="6" t="s">
        <v>41</v>
      </c>
      <c r="B12" s="6" t="s">
        <v>42</v>
      </c>
      <c r="C12" s="6" t="s">
        <v>37</v>
      </c>
      <c r="D12" s="6" t="s">
        <v>22</v>
      </c>
      <c r="E12" s="6" t="s">
        <v>18</v>
      </c>
      <c r="F12" s="7">
        <v>40718</v>
      </c>
      <c r="G12" s="8">
        <f t="shared" si="0"/>
        <v>2011</v>
      </c>
      <c r="H12" s="9">
        <v>814711606</v>
      </c>
      <c r="I12" s="7">
        <v>40736</v>
      </c>
      <c r="J12" s="10">
        <v>124</v>
      </c>
      <c r="K12" s="9">
        <v>154.06</v>
      </c>
      <c r="L12" s="9">
        <v>90.93</v>
      </c>
      <c r="M12" s="11">
        <v>19103.439999999999</v>
      </c>
      <c r="N12" s="11">
        <v>11275.32</v>
      </c>
      <c r="O12" s="11">
        <v>7828.12</v>
      </c>
      <c r="S12" s="6" t="s">
        <v>28</v>
      </c>
      <c r="T12" s="18">
        <f t="shared" si="1"/>
        <v>12183211.400000004</v>
      </c>
    </row>
    <row r="13" spans="1:20" x14ac:dyDescent="0.25">
      <c r="A13" s="6" t="s">
        <v>28</v>
      </c>
      <c r="B13" s="6" t="s">
        <v>43</v>
      </c>
      <c r="C13" s="6" t="s">
        <v>44</v>
      </c>
      <c r="D13" s="6" t="s">
        <v>17</v>
      </c>
      <c r="E13" s="6" t="s">
        <v>18</v>
      </c>
      <c r="F13" s="7">
        <v>41853</v>
      </c>
      <c r="G13" s="8">
        <f t="shared" si="0"/>
        <v>2014</v>
      </c>
      <c r="H13" s="9">
        <v>939825713</v>
      </c>
      <c r="I13" s="7">
        <v>41870</v>
      </c>
      <c r="J13" s="10">
        <v>4168</v>
      </c>
      <c r="K13" s="9">
        <v>109.28</v>
      </c>
      <c r="L13" s="9">
        <v>35.840000000000003</v>
      </c>
      <c r="M13" s="11">
        <v>455479.03999999998</v>
      </c>
      <c r="N13" s="11">
        <v>149381.12</v>
      </c>
      <c r="O13" s="11">
        <v>306097.91999999998</v>
      </c>
      <c r="S13" s="6"/>
      <c r="T13" s="17">
        <f>SUM(T6:T12)</f>
        <v>44168198.400000006</v>
      </c>
    </row>
    <row r="14" spans="1:20" x14ac:dyDescent="0.25">
      <c r="A14" s="6" t="s">
        <v>41</v>
      </c>
      <c r="B14" s="6" t="s">
        <v>45</v>
      </c>
      <c r="C14" s="6" t="s">
        <v>44</v>
      </c>
      <c r="D14" s="6" t="s">
        <v>22</v>
      </c>
      <c r="E14" s="6" t="s">
        <v>27</v>
      </c>
      <c r="F14" s="7">
        <v>42748</v>
      </c>
      <c r="G14" s="8">
        <f t="shared" si="0"/>
        <v>2017</v>
      </c>
      <c r="H14" s="9">
        <v>187310731</v>
      </c>
      <c r="I14" s="7">
        <v>42795</v>
      </c>
      <c r="J14" s="10">
        <v>8263</v>
      </c>
      <c r="K14" s="9">
        <v>109.28</v>
      </c>
      <c r="L14" s="9">
        <v>35.840000000000003</v>
      </c>
      <c r="M14" s="11">
        <v>902980.64</v>
      </c>
      <c r="N14" s="11">
        <v>296145.91999999998</v>
      </c>
      <c r="O14" s="11">
        <v>606834.72</v>
      </c>
    </row>
    <row r="15" spans="1:20" x14ac:dyDescent="0.25">
      <c r="A15" s="6" t="s">
        <v>19</v>
      </c>
      <c r="B15" s="6" t="s">
        <v>46</v>
      </c>
      <c r="C15" s="6" t="s">
        <v>34</v>
      </c>
      <c r="D15" s="6" t="s">
        <v>17</v>
      </c>
      <c r="E15" s="6" t="s">
        <v>18</v>
      </c>
      <c r="F15" s="7">
        <v>42774</v>
      </c>
      <c r="G15" s="8">
        <f t="shared" si="0"/>
        <v>2017</v>
      </c>
      <c r="H15" s="9">
        <v>522840487</v>
      </c>
      <c r="I15" s="7">
        <v>42779</v>
      </c>
      <c r="J15" s="10">
        <v>8974</v>
      </c>
      <c r="K15" s="9">
        <v>668.27</v>
      </c>
      <c r="L15" s="9">
        <v>502.54</v>
      </c>
      <c r="M15" s="11">
        <v>5997054.9800000004</v>
      </c>
      <c r="N15" s="11">
        <v>4509793.96</v>
      </c>
      <c r="O15" s="11">
        <v>1487261.02</v>
      </c>
      <c r="S15" s="38" t="s">
        <v>130</v>
      </c>
      <c r="T15" s="38"/>
    </row>
    <row r="16" spans="1:20" x14ac:dyDescent="0.25">
      <c r="A16" s="6" t="s">
        <v>41</v>
      </c>
      <c r="B16" s="6" t="s">
        <v>47</v>
      </c>
      <c r="C16" s="6" t="s">
        <v>39</v>
      </c>
      <c r="D16" s="6" t="s">
        <v>17</v>
      </c>
      <c r="E16" s="6" t="s">
        <v>23</v>
      </c>
      <c r="F16" s="7">
        <v>41689</v>
      </c>
      <c r="G16" s="8">
        <f t="shared" si="0"/>
        <v>2014</v>
      </c>
      <c r="H16" s="9">
        <v>832401311</v>
      </c>
      <c r="I16" s="7">
        <v>41693</v>
      </c>
      <c r="J16" s="10">
        <v>4901</v>
      </c>
      <c r="K16" s="9">
        <v>81.73</v>
      </c>
      <c r="L16" s="9">
        <v>56.67</v>
      </c>
      <c r="M16" s="11">
        <v>400558.73</v>
      </c>
      <c r="N16" s="11">
        <v>277739.67</v>
      </c>
      <c r="O16" s="11">
        <v>122819.06</v>
      </c>
      <c r="S16" s="12" t="s">
        <v>115</v>
      </c>
      <c r="T16" s="19" t="s">
        <v>123</v>
      </c>
    </row>
    <row r="17" spans="1:28" x14ac:dyDescent="0.25">
      <c r="A17" s="6" t="s">
        <v>24</v>
      </c>
      <c r="B17" s="6" t="s">
        <v>48</v>
      </c>
      <c r="C17" s="6" t="s">
        <v>44</v>
      </c>
      <c r="D17" s="6" t="s">
        <v>22</v>
      </c>
      <c r="E17" s="6" t="s">
        <v>35</v>
      </c>
      <c r="F17" s="7">
        <v>41022</v>
      </c>
      <c r="G17" s="8">
        <f t="shared" si="0"/>
        <v>2012</v>
      </c>
      <c r="H17" s="9">
        <v>972292029</v>
      </c>
      <c r="I17" s="7">
        <v>41063</v>
      </c>
      <c r="J17" s="10">
        <v>1673</v>
      </c>
      <c r="K17" s="9">
        <v>109.28</v>
      </c>
      <c r="L17" s="9">
        <v>35.840000000000003</v>
      </c>
      <c r="M17" s="11">
        <v>182825.44</v>
      </c>
      <c r="N17" s="11">
        <v>59960.32</v>
      </c>
      <c r="O17" s="11">
        <v>122865.12</v>
      </c>
      <c r="S17" s="8">
        <v>2010</v>
      </c>
      <c r="T17" s="18">
        <f>SUMIF($G$2:$G$101,S17,$M$2:$M$101)</f>
        <v>19186024.920000002</v>
      </c>
    </row>
    <row r="18" spans="1:28" x14ac:dyDescent="0.25">
      <c r="A18" s="6" t="s">
        <v>41</v>
      </c>
      <c r="B18" s="6" t="s">
        <v>49</v>
      </c>
      <c r="C18" s="6" t="s">
        <v>50</v>
      </c>
      <c r="D18" s="6" t="s">
        <v>17</v>
      </c>
      <c r="E18" s="6" t="s">
        <v>35</v>
      </c>
      <c r="F18" s="7">
        <v>42693</v>
      </c>
      <c r="G18" s="8">
        <f t="shared" si="0"/>
        <v>2016</v>
      </c>
      <c r="H18" s="9">
        <v>419123971</v>
      </c>
      <c r="I18" s="7">
        <v>42722</v>
      </c>
      <c r="J18" s="10">
        <v>6952</v>
      </c>
      <c r="K18" s="9">
        <v>437.2</v>
      </c>
      <c r="L18" s="9">
        <v>263.33</v>
      </c>
      <c r="M18" s="11">
        <v>3039414.4</v>
      </c>
      <c r="N18" s="11">
        <v>1830670.16</v>
      </c>
      <c r="O18" s="11">
        <v>1208744.24</v>
      </c>
      <c r="S18" s="8">
        <v>2011</v>
      </c>
      <c r="T18" s="18">
        <f>SUMIF($G$2:$G$101,S18,$M$2:$M$101)</f>
        <v>11129166.07</v>
      </c>
    </row>
    <row r="19" spans="1:28" x14ac:dyDescent="0.25">
      <c r="A19" s="6" t="s">
        <v>28</v>
      </c>
      <c r="B19" s="6" t="s">
        <v>51</v>
      </c>
      <c r="C19" s="6" t="s">
        <v>52</v>
      </c>
      <c r="D19" s="6" t="s">
        <v>17</v>
      </c>
      <c r="E19" s="6" t="s">
        <v>23</v>
      </c>
      <c r="F19" s="7">
        <v>42095</v>
      </c>
      <c r="G19" s="8">
        <f t="shared" si="0"/>
        <v>2015</v>
      </c>
      <c r="H19" s="9">
        <v>519820964</v>
      </c>
      <c r="I19" s="7">
        <v>42112</v>
      </c>
      <c r="J19" s="10">
        <v>5430</v>
      </c>
      <c r="K19" s="9">
        <v>47.45</v>
      </c>
      <c r="L19" s="9">
        <v>31.79</v>
      </c>
      <c r="M19" s="11">
        <v>257653.5</v>
      </c>
      <c r="N19" s="11">
        <v>172619.7</v>
      </c>
      <c r="O19" s="11">
        <v>85033.8</v>
      </c>
      <c r="S19" s="8">
        <v>2012</v>
      </c>
      <c r="T19" s="18">
        <f t="shared" ref="T19:T24" si="2">SUMIF($G$2:$G$101,S19,$M$2:$M$101)</f>
        <v>31898644.52</v>
      </c>
    </row>
    <row r="20" spans="1:28" x14ac:dyDescent="0.25">
      <c r="A20" s="6" t="s">
        <v>41</v>
      </c>
      <c r="B20" s="6" t="s">
        <v>53</v>
      </c>
      <c r="C20" s="6" t="s">
        <v>34</v>
      </c>
      <c r="D20" s="6" t="s">
        <v>17</v>
      </c>
      <c r="E20" s="6" t="s">
        <v>27</v>
      </c>
      <c r="F20" s="7">
        <v>40542</v>
      </c>
      <c r="G20" s="8">
        <f t="shared" si="0"/>
        <v>2010</v>
      </c>
      <c r="H20" s="9">
        <v>441619336</v>
      </c>
      <c r="I20" s="7">
        <v>40563</v>
      </c>
      <c r="J20" s="10">
        <v>3830</v>
      </c>
      <c r="K20" s="9">
        <v>668.27</v>
      </c>
      <c r="L20" s="9">
        <v>502.54</v>
      </c>
      <c r="M20" s="11">
        <v>2559474.1</v>
      </c>
      <c r="N20" s="11">
        <v>1924728.2</v>
      </c>
      <c r="O20" s="11">
        <v>634745.9</v>
      </c>
      <c r="S20" s="8">
        <v>2013</v>
      </c>
      <c r="T20" s="18">
        <f t="shared" si="2"/>
        <v>20330448.66</v>
      </c>
    </row>
    <row r="21" spans="1:28" x14ac:dyDescent="0.25">
      <c r="A21" s="6" t="s">
        <v>14</v>
      </c>
      <c r="B21" s="6" t="s">
        <v>54</v>
      </c>
      <c r="C21" s="6" t="s">
        <v>55</v>
      </c>
      <c r="D21" s="6" t="s">
        <v>22</v>
      </c>
      <c r="E21" s="6" t="s">
        <v>27</v>
      </c>
      <c r="F21" s="7">
        <v>41121</v>
      </c>
      <c r="G21" s="8">
        <f t="shared" si="0"/>
        <v>2012</v>
      </c>
      <c r="H21" s="9">
        <v>322067916</v>
      </c>
      <c r="I21" s="7">
        <v>41163</v>
      </c>
      <c r="J21" s="10">
        <v>5908</v>
      </c>
      <c r="K21" s="9">
        <v>421.89</v>
      </c>
      <c r="L21" s="9">
        <v>364.69</v>
      </c>
      <c r="M21" s="11">
        <v>2492526.12</v>
      </c>
      <c r="N21" s="11">
        <v>2154588.52</v>
      </c>
      <c r="O21" s="11">
        <v>337937.6</v>
      </c>
      <c r="S21" s="8">
        <v>2014</v>
      </c>
      <c r="T21" s="18">
        <f t="shared" si="2"/>
        <v>16630214.430000002</v>
      </c>
    </row>
    <row r="22" spans="1:28" x14ac:dyDescent="0.25">
      <c r="A22" s="6" t="s">
        <v>24</v>
      </c>
      <c r="B22" s="6" t="s">
        <v>56</v>
      </c>
      <c r="C22" s="6" t="s">
        <v>16</v>
      </c>
      <c r="D22" s="6" t="s">
        <v>22</v>
      </c>
      <c r="E22" s="6" t="s">
        <v>27</v>
      </c>
      <c r="F22" s="7">
        <v>41773</v>
      </c>
      <c r="G22" s="8">
        <f t="shared" si="0"/>
        <v>2014</v>
      </c>
      <c r="H22" s="9">
        <v>819028031</v>
      </c>
      <c r="I22" s="7">
        <v>41818</v>
      </c>
      <c r="J22" s="10">
        <v>7450</v>
      </c>
      <c r="K22" s="9">
        <v>255.28</v>
      </c>
      <c r="L22" s="9">
        <v>159.41999999999999</v>
      </c>
      <c r="M22" s="11">
        <v>1901836</v>
      </c>
      <c r="N22" s="11">
        <v>1187679</v>
      </c>
      <c r="O22" s="11">
        <v>714157</v>
      </c>
      <c r="S22" s="8">
        <v>2015</v>
      </c>
      <c r="T22" s="18">
        <f t="shared" si="2"/>
        <v>12427982.860000001</v>
      </c>
    </row>
    <row r="23" spans="1:28" x14ac:dyDescent="0.25">
      <c r="A23" s="6" t="s">
        <v>24</v>
      </c>
      <c r="B23" s="6" t="s">
        <v>57</v>
      </c>
      <c r="C23" s="6" t="s">
        <v>16</v>
      </c>
      <c r="D23" s="6" t="s">
        <v>22</v>
      </c>
      <c r="E23" s="6" t="s">
        <v>18</v>
      </c>
      <c r="F23" s="7">
        <v>42216</v>
      </c>
      <c r="G23" s="8">
        <f t="shared" si="0"/>
        <v>2015</v>
      </c>
      <c r="H23" s="9">
        <v>860673511</v>
      </c>
      <c r="I23" s="7">
        <v>42250</v>
      </c>
      <c r="J23" s="10">
        <v>1273</v>
      </c>
      <c r="K23" s="9">
        <v>255.28</v>
      </c>
      <c r="L23" s="9">
        <v>159.41999999999999</v>
      </c>
      <c r="M23" s="11">
        <v>324971.44</v>
      </c>
      <c r="N23" s="11">
        <v>202941.66</v>
      </c>
      <c r="O23" s="11">
        <v>122029.78</v>
      </c>
      <c r="S23" s="8">
        <v>2016</v>
      </c>
      <c r="T23" s="18">
        <f t="shared" si="2"/>
        <v>12372867.219999999</v>
      </c>
    </row>
    <row r="24" spans="1:28" x14ac:dyDescent="0.25">
      <c r="A24" s="6" t="s">
        <v>19</v>
      </c>
      <c r="B24" s="6" t="s">
        <v>46</v>
      </c>
      <c r="C24" s="6" t="s">
        <v>58</v>
      </c>
      <c r="D24" s="6" t="s">
        <v>22</v>
      </c>
      <c r="E24" s="6" t="s">
        <v>27</v>
      </c>
      <c r="F24" s="7">
        <v>42551</v>
      </c>
      <c r="G24" s="8">
        <f t="shared" si="0"/>
        <v>2016</v>
      </c>
      <c r="H24" s="9">
        <v>795490682</v>
      </c>
      <c r="I24" s="7">
        <v>42577</v>
      </c>
      <c r="J24" s="10">
        <v>2225</v>
      </c>
      <c r="K24" s="9">
        <v>152.58000000000001</v>
      </c>
      <c r="L24" s="9">
        <v>97.44</v>
      </c>
      <c r="M24" s="11">
        <v>339490.5</v>
      </c>
      <c r="N24" s="11">
        <v>216804</v>
      </c>
      <c r="O24" s="11">
        <v>122686.5</v>
      </c>
      <c r="S24" s="8">
        <v>2017</v>
      </c>
      <c r="T24" s="18">
        <f t="shared" si="2"/>
        <v>13373419.629999999</v>
      </c>
    </row>
    <row r="25" spans="1:28" x14ac:dyDescent="0.25">
      <c r="A25" s="6" t="s">
        <v>14</v>
      </c>
      <c r="B25" s="6" t="s">
        <v>59</v>
      </c>
      <c r="C25" s="6" t="s">
        <v>30</v>
      </c>
      <c r="D25" s="6" t="s">
        <v>22</v>
      </c>
      <c r="E25" s="6" t="s">
        <v>18</v>
      </c>
      <c r="F25" s="7">
        <v>41890</v>
      </c>
      <c r="G25" s="8">
        <f t="shared" si="0"/>
        <v>2014</v>
      </c>
      <c r="H25" s="9">
        <v>142278373</v>
      </c>
      <c r="I25" s="7">
        <v>41916</v>
      </c>
      <c r="J25" s="10">
        <v>2187</v>
      </c>
      <c r="K25" s="9">
        <v>9.33</v>
      </c>
      <c r="L25" s="9">
        <v>6.92</v>
      </c>
      <c r="M25" s="11">
        <v>20404.71</v>
      </c>
      <c r="N25" s="11">
        <v>15134.04</v>
      </c>
      <c r="O25" s="11">
        <v>5270.67</v>
      </c>
      <c r="S25" s="6"/>
      <c r="T25" s="17">
        <f>SUM(T17:T24)</f>
        <v>137348768.31</v>
      </c>
    </row>
    <row r="26" spans="1:28" x14ac:dyDescent="0.25">
      <c r="A26" s="6" t="s">
        <v>24</v>
      </c>
      <c r="B26" s="6" t="s">
        <v>60</v>
      </c>
      <c r="C26" s="6" t="s">
        <v>39</v>
      </c>
      <c r="D26" s="6" t="s">
        <v>22</v>
      </c>
      <c r="E26" s="6" t="s">
        <v>27</v>
      </c>
      <c r="F26" s="7">
        <v>42497</v>
      </c>
      <c r="G26" s="8">
        <f t="shared" si="0"/>
        <v>2016</v>
      </c>
      <c r="H26" s="9">
        <v>740147912</v>
      </c>
      <c r="I26" s="7">
        <v>42500</v>
      </c>
      <c r="J26" s="10">
        <v>5070</v>
      </c>
      <c r="K26" s="9">
        <v>81.73</v>
      </c>
      <c r="L26" s="9">
        <v>56.67</v>
      </c>
      <c r="M26" s="11">
        <v>414371.1</v>
      </c>
      <c r="N26" s="11">
        <v>287316.90000000002</v>
      </c>
      <c r="O26" s="11">
        <v>127054.2</v>
      </c>
    </row>
    <row r="27" spans="1:28" x14ac:dyDescent="0.25">
      <c r="A27" s="6" t="s">
        <v>24</v>
      </c>
      <c r="B27" s="6" t="s">
        <v>61</v>
      </c>
      <c r="C27" s="6" t="s">
        <v>50</v>
      </c>
      <c r="D27" s="6" t="s">
        <v>22</v>
      </c>
      <c r="E27" s="6" t="s">
        <v>18</v>
      </c>
      <c r="F27" s="7">
        <v>42877</v>
      </c>
      <c r="G27" s="8">
        <f t="shared" si="0"/>
        <v>2017</v>
      </c>
      <c r="H27" s="9">
        <v>898523128</v>
      </c>
      <c r="I27" s="7">
        <v>42891</v>
      </c>
      <c r="J27" s="10">
        <v>1815</v>
      </c>
      <c r="K27" s="9">
        <v>437.2</v>
      </c>
      <c r="L27" s="9">
        <v>263.33</v>
      </c>
      <c r="M27" s="11">
        <v>793518</v>
      </c>
      <c r="N27" s="11">
        <v>477943.95</v>
      </c>
      <c r="O27" s="11">
        <v>315574.05</v>
      </c>
      <c r="S27" s="38" t="s">
        <v>132</v>
      </c>
      <c r="T27" s="38"/>
      <c r="U27" s="38"/>
      <c r="V27" s="38"/>
      <c r="W27" s="38"/>
      <c r="X27" s="38"/>
      <c r="Y27" s="38"/>
      <c r="Z27" s="38"/>
      <c r="AA27" s="38"/>
    </row>
    <row r="28" spans="1:28" x14ac:dyDescent="0.25">
      <c r="A28" s="6" t="s">
        <v>14</v>
      </c>
      <c r="B28" s="6" t="s">
        <v>62</v>
      </c>
      <c r="C28" s="6" t="s">
        <v>30</v>
      </c>
      <c r="D28" s="6" t="s">
        <v>22</v>
      </c>
      <c r="E28" s="6" t="s">
        <v>35</v>
      </c>
      <c r="F28" s="7">
        <v>41925</v>
      </c>
      <c r="G28" s="8">
        <f t="shared" si="0"/>
        <v>2014</v>
      </c>
      <c r="H28" s="9">
        <v>347140347</v>
      </c>
      <c r="I28" s="7">
        <v>41953</v>
      </c>
      <c r="J28" s="10">
        <v>5398</v>
      </c>
      <c r="K28" s="9">
        <v>9.33</v>
      </c>
      <c r="L28" s="9">
        <v>6.92</v>
      </c>
      <c r="M28" s="11">
        <v>50363.34</v>
      </c>
      <c r="N28" s="11">
        <v>37354.160000000003</v>
      </c>
      <c r="O28" s="11">
        <v>13009.18</v>
      </c>
      <c r="S28" s="12" t="s">
        <v>135</v>
      </c>
      <c r="T28" s="20">
        <v>2010</v>
      </c>
      <c r="U28" s="20">
        <v>2011</v>
      </c>
      <c r="V28" s="20">
        <v>2012</v>
      </c>
      <c r="W28" s="20">
        <v>2013</v>
      </c>
      <c r="X28" s="20">
        <v>2014</v>
      </c>
      <c r="Y28" s="20">
        <v>2015</v>
      </c>
      <c r="Z28" s="20">
        <v>2016</v>
      </c>
      <c r="AA28" s="20">
        <v>2017</v>
      </c>
      <c r="AB28" s="34" t="s">
        <v>141</v>
      </c>
    </row>
    <row r="29" spans="1:28" x14ac:dyDescent="0.25">
      <c r="A29" s="6" t="s">
        <v>28</v>
      </c>
      <c r="B29" s="6" t="s">
        <v>63</v>
      </c>
      <c r="C29" s="6" t="s">
        <v>30</v>
      </c>
      <c r="D29" s="6" t="s">
        <v>22</v>
      </c>
      <c r="E29" s="6" t="s">
        <v>27</v>
      </c>
      <c r="F29" s="7">
        <v>40305</v>
      </c>
      <c r="G29" s="8">
        <f t="shared" si="0"/>
        <v>2010</v>
      </c>
      <c r="H29" s="9">
        <v>686048400</v>
      </c>
      <c r="I29" s="7">
        <v>40308</v>
      </c>
      <c r="J29" s="10">
        <v>5822</v>
      </c>
      <c r="K29" s="9">
        <v>9.33</v>
      </c>
      <c r="L29" s="9">
        <v>6.92</v>
      </c>
      <c r="M29" s="11">
        <v>54319.26</v>
      </c>
      <c r="N29" s="11">
        <v>40288.239999999998</v>
      </c>
      <c r="O29" s="11">
        <v>14031.02</v>
      </c>
      <c r="S29" s="30" t="s">
        <v>16</v>
      </c>
      <c r="T29" s="21">
        <f>SUMIFS($J$2:$J$101,$C$2:$C$101,S29,$G$2:$G$101,$T28)</f>
        <v>9925</v>
      </c>
      <c r="U29" s="21">
        <f>SUMIFS($J$2:$J$101,$C$2:$C$101,S29,$G$2:$G$101,$U$28)</f>
        <v>0</v>
      </c>
      <c r="V29" s="21">
        <f>SUMIFS($J$2:$J$101,$C$2:$C$101,S29,$G$2:$G$101,$V$28)</f>
        <v>8614</v>
      </c>
      <c r="W29" s="21">
        <f>SUMIFS($J$2:$J$101,$C$2:$C$101,S29,$G$2:$G$101,$W$28)</f>
        <v>4750</v>
      </c>
      <c r="X29" s="21">
        <f>SUMIFS($J$2:$J$101,$C$2:$C$101,S29,$G$2:$G$101,$X$28)</f>
        <v>13009</v>
      </c>
      <c r="Y29" s="21">
        <f>SUMIFS($J$2:$J$101,$C$2:$C$101,S29,$G$2:$G$101,$Y$28)</f>
        <v>4247</v>
      </c>
      <c r="Z29" s="21">
        <f>SUMIFS($J$2:$J$101,$C$2:$C$101,S29,$G$2:$G$101,$Z$28)</f>
        <v>0</v>
      </c>
      <c r="AA29" s="21">
        <f>SUMIFS($J$2:$J$101,$C$2:$C$101,S29,$G$2:$G$101,$AA$28)</f>
        <v>0</v>
      </c>
      <c r="AB29" s="11">
        <f>SUM(T29:AA29)</f>
        <v>40545</v>
      </c>
    </row>
    <row r="30" spans="1:28" x14ac:dyDescent="0.25">
      <c r="A30" s="6" t="s">
        <v>24</v>
      </c>
      <c r="B30" s="6" t="s">
        <v>56</v>
      </c>
      <c r="C30" s="6" t="s">
        <v>52</v>
      </c>
      <c r="D30" s="6" t="s">
        <v>17</v>
      </c>
      <c r="E30" s="6" t="s">
        <v>23</v>
      </c>
      <c r="F30" s="7">
        <v>41838</v>
      </c>
      <c r="G30" s="8">
        <f t="shared" si="0"/>
        <v>2014</v>
      </c>
      <c r="H30" s="9">
        <v>435608613</v>
      </c>
      <c r="I30" s="7">
        <v>41850</v>
      </c>
      <c r="J30" s="10">
        <v>5124</v>
      </c>
      <c r="K30" s="9">
        <v>47.45</v>
      </c>
      <c r="L30" s="9">
        <v>31.79</v>
      </c>
      <c r="M30" s="11">
        <v>243133.8</v>
      </c>
      <c r="N30" s="11">
        <v>162891.96</v>
      </c>
      <c r="O30" s="11">
        <v>80241.84</v>
      </c>
      <c r="S30" s="25" t="s">
        <v>21</v>
      </c>
      <c r="T30" s="10">
        <f>SUMIFS($J$2:$J$101,$C$2:$C$101,S30,$G$2:$G$101,$T$28)</f>
        <v>0</v>
      </c>
      <c r="U30" s="10">
        <f t="shared" ref="U30:U40" si="3">SUMIFS($J$2:$J$101,$C$2:$C$101,S30,$G$2:$G$101,$U$28)</f>
        <v>0</v>
      </c>
      <c r="V30" s="10">
        <f t="shared" ref="V30:V40" si="4">SUMIFS($J$2:$J$101,$C$2:$C$101,S30,$G$2:$G$101,$V$28)</f>
        <v>4921</v>
      </c>
      <c r="W30" s="10">
        <f t="shared" ref="W30:W40" si="5">SUMIFS($J$2:$J$101,$C$2:$C$101,S30,$G$2:$G$101,$W$28)</f>
        <v>4745</v>
      </c>
      <c r="X30" s="10">
        <f t="shared" ref="X30:X40" si="6">SUMIFS($J$2:$J$101,$C$2:$C$101,S30,$G$2:$G$101,$X$28)</f>
        <v>6593</v>
      </c>
      <c r="Y30" s="10">
        <f t="shared" ref="Y30:Y40" si="7">SUMIFS($J$2:$J$101,$C$2:$C$101,S30,$G$2:$G$101,$Y$28)</f>
        <v>0</v>
      </c>
      <c r="Z30" s="10">
        <f t="shared" ref="Z30:Z40" si="8">SUMIFS($J$2:$J$101,$C$2:$C$101,S30,$G$2:$G$101,$Z$28)</f>
        <v>962</v>
      </c>
      <c r="AA30" s="10">
        <f t="shared" ref="AA30:AA40" si="9">SUMIFS($J$2:$J$101,$C$2:$C$101,S30,$G$2:$G$101,$AA$28)</f>
        <v>8656</v>
      </c>
      <c r="AB30" s="11">
        <f t="shared" ref="AB30:AB40" si="10">SUM(T30:AA30)</f>
        <v>25877</v>
      </c>
    </row>
    <row r="31" spans="1:28" x14ac:dyDescent="0.25">
      <c r="A31" s="6" t="s">
        <v>28</v>
      </c>
      <c r="B31" s="6" t="s">
        <v>64</v>
      </c>
      <c r="C31" s="6" t="s">
        <v>34</v>
      </c>
      <c r="D31" s="6" t="s">
        <v>17</v>
      </c>
      <c r="E31" s="6" t="s">
        <v>27</v>
      </c>
      <c r="F31" s="7">
        <v>41055</v>
      </c>
      <c r="G31" s="8">
        <f t="shared" si="0"/>
        <v>2012</v>
      </c>
      <c r="H31" s="9">
        <v>886494815</v>
      </c>
      <c r="I31" s="7">
        <v>41069</v>
      </c>
      <c r="J31" s="10">
        <v>2370</v>
      </c>
      <c r="K31" s="9">
        <v>668.27</v>
      </c>
      <c r="L31" s="9">
        <v>502.54</v>
      </c>
      <c r="M31" s="11">
        <v>1583799.9</v>
      </c>
      <c r="N31" s="11">
        <v>1191019.8</v>
      </c>
      <c r="O31" s="11">
        <v>392780.1</v>
      </c>
      <c r="S31" s="25" t="s">
        <v>26</v>
      </c>
      <c r="T31" s="10">
        <f t="shared" ref="T31:T40" si="11">SUMIFS($J$2:$J$101,$C$2:$C$101,S31,$G$2:$G$101,$T$28)</f>
        <v>8287</v>
      </c>
      <c r="U31" s="10">
        <f t="shared" si="3"/>
        <v>8975</v>
      </c>
      <c r="V31" s="10">
        <f>SUMIFS($J$2:$J$101,$C$2:$C$101,S31,$G$2:$G$101,$V$28)</f>
        <v>13982</v>
      </c>
      <c r="W31" s="10">
        <f t="shared" si="5"/>
        <v>10072</v>
      </c>
      <c r="X31" s="10">
        <f t="shared" si="6"/>
        <v>1779</v>
      </c>
      <c r="Y31" s="10">
        <f t="shared" si="7"/>
        <v>2924</v>
      </c>
      <c r="Z31" s="10">
        <f t="shared" si="8"/>
        <v>948</v>
      </c>
      <c r="AA31" s="10">
        <f t="shared" si="9"/>
        <v>0</v>
      </c>
      <c r="AB31" s="11">
        <f t="shared" si="10"/>
        <v>46967</v>
      </c>
    </row>
    <row r="32" spans="1:28" x14ac:dyDescent="0.25">
      <c r="A32" s="6" t="s">
        <v>24</v>
      </c>
      <c r="B32" s="6" t="s">
        <v>65</v>
      </c>
      <c r="C32" s="6" t="s">
        <v>50</v>
      </c>
      <c r="D32" s="6" t="s">
        <v>17</v>
      </c>
      <c r="E32" s="6" t="s">
        <v>35</v>
      </c>
      <c r="F32" s="7">
        <v>41169</v>
      </c>
      <c r="G32" s="8">
        <f t="shared" si="0"/>
        <v>2012</v>
      </c>
      <c r="H32" s="9">
        <v>249693334</v>
      </c>
      <c r="I32" s="7">
        <v>41202</v>
      </c>
      <c r="J32" s="10">
        <v>8661</v>
      </c>
      <c r="K32" s="9">
        <v>437.2</v>
      </c>
      <c r="L32" s="9">
        <v>263.33</v>
      </c>
      <c r="M32" s="11">
        <v>3786589.2</v>
      </c>
      <c r="N32" s="11">
        <v>2280701.13</v>
      </c>
      <c r="O32" s="11">
        <v>1505888.07</v>
      </c>
      <c r="S32" s="25" t="s">
        <v>30</v>
      </c>
      <c r="T32" s="10">
        <f t="shared" si="11"/>
        <v>5822</v>
      </c>
      <c r="U32" s="10">
        <f t="shared" si="3"/>
        <v>10051</v>
      </c>
      <c r="V32" s="10">
        <f t="shared" si="4"/>
        <v>522</v>
      </c>
      <c r="W32" s="10">
        <f t="shared" si="5"/>
        <v>17243</v>
      </c>
      <c r="X32" s="10">
        <f t="shared" si="6"/>
        <v>15687</v>
      </c>
      <c r="Y32" s="10">
        <f t="shared" si="7"/>
        <v>673</v>
      </c>
      <c r="Z32" s="10">
        <f t="shared" si="8"/>
        <v>0</v>
      </c>
      <c r="AA32" s="10">
        <f t="shared" si="9"/>
        <v>0</v>
      </c>
      <c r="AB32" s="11">
        <f t="shared" si="10"/>
        <v>49998</v>
      </c>
    </row>
    <row r="33" spans="1:28" x14ac:dyDescent="0.25">
      <c r="A33" s="6" t="s">
        <v>28</v>
      </c>
      <c r="B33" s="6" t="s">
        <v>66</v>
      </c>
      <c r="C33" s="6" t="s">
        <v>39</v>
      </c>
      <c r="D33" s="6" t="s">
        <v>17</v>
      </c>
      <c r="E33" s="6" t="s">
        <v>23</v>
      </c>
      <c r="F33" s="7">
        <v>41637</v>
      </c>
      <c r="G33" s="8">
        <f t="shared" si="0"/>
        <v>2013</v>
      </c>
      <c r="H33" s="9">
        <v>406502997</v>
      </c>
      <c r="I33" s="7">
        <v>41667</v>
      </c>
      <c r="J33" s="10">
        <v>2125</v>
      </c>
      <c r="K33" s="9">
        <v>81.73</v>
      </c>
      <c r="L33" s="9">
        <v>56.67</v>
      </c>
      <c r="M33" s="11">
        <v>173676.25</v>
      </c>
      <c r="N33" s="11">
        <v>120423.75</v>
      </c>
      <c r="O33" s="11">
        <v>53252.5</v>
      </c>
      <c r="S33" s="25" t="s">
        <v>34</v>
      </c>
      <c r="T33" s="10">
        <f t="shared" si="11"/>
        <v>3830</v>
      </c>
      <c r="U33" s="10">
        <f t="shared" si="3"/>
        <v>4187</v>
      </c>
      <c r="V33" s="10">
        <f t="shared" si="4"/>
        <v>12532</v>
      </c>
      <c r="W33" s="10">
        <f t="shared" si="5"/>
        <v>0</v>
      </c>
      <c r="X33" s="10">
        <f t="shared" si="6"/>
        <v>6954</v>
      </c>
      <c r="Y33" s="10">
        <f t="shared" si="7"/>
        <v>8250</v>
      </c>
      <c r="Z33" s="10">
        <f t="shared" si="8"/>
        <v>0</v>
      </c>
      <c r="AA33" s="10">
        <f t="shared" si="9"/>
        <v>8974</v>
      </c>
      <c r="AB33" s="11">
        <f t="shared" si="10"/>
        <v>44727</v>
      </c>
    </row>
    <row r="34" spans="1:28" x14ac:dyDescent="0.25">
      <c r="A34" s="6" t="s">
        <v>14</v>
      </c>
      <c r="B34" s="6" t="s">
        <v>67</v>
      </c>
      <c r="C34" s="6" t="s">
        <v>26</v>
      </c>
      <c r="D34" s="6" t="s">
        <v>22</v>
      </c>
      <c r="E34" s="6" t="s">
        <v>23</v>
      </c>
      <c r="F34" s="7">
        <v>42304</v>
      </c>
      <c r="G34" s="8">
        <f t="shared" si="0"/>
        <v>2015</v>
      </c>
      <c r="H34" s="9">
        <v>158535134</v>
      </c>
      <c r="I34" s="7">
        <v>42333</v>
      </c>
      <c r="J34" s="10">
        <v>2924</v>
      </c>
      <c r="K34" s="9">
        <v>651.21</v>
      </c>
      <c r="L34" s="9">
        <v>524.96</v>
      </c>
      <c r="M34" s="11">
        <v>1904138.04</v>
      </c>
      <c r="N34" s="11">
        <v>1534983.04</v>
      </c>
      <c r="O34" s="11">
        <v>369155</v>
      </c>
      <c r="S34" s="25" t="s">
        <v>37</v>
      </c>
      <c r="T34" s="10">
        <f t="shared" si="11"/>
        <v>0</v>
      </c>
      <c r="U34" s="10">
        <f t="shared" si="3"/>
        <v>3856</v>
      </c>
      <c r="V34" s="10">
        <f t="shared" si="4"/>
        <v>14710</v>
      </c>
      <c r="W34" s="10">
        <f t="shared" si="5"/>
        <v>0</v>
      </c>
      <c r="X34" s="10">
        <f t="shared" si="6"/>
        <v>0</v>
      </c>
      <c r="Y34" s="10">
        <f t="shared" si="7"/>
        <v>0</v>
      </c>
      <c r="Z34" s="10">
        <f t="shared" si="8"/>
        <v>1485</v>
      </c>
      <c r="AA34" s="10">
        <f t="shared" si="9"/>
        <v>0</v>
      </c>
      <c r="AB34" s="11">
        <f t="shared" si="10"/>
        <v>20051</v>
      </c>
    </row>
    <row r="35" spans="1:28" x14ac:dyDescent="0.25">
      <c r="A35" s="6" t="s">
        <v>41</v>
      </c>
      <c r="B35" s="6" t="s">
        <v>68</v>
      </c>
      <c r="C35" s="6" t="s">
        <v>34</v>
      </c>
      <c r="D35" s="6" t="s">
        <v>17</v>
      </c>
      <c r="E35" s="6" t="s">
        <v>18</v>
      </c>
      <c r="F35" s="7">
        <v>42020</v>
      </c>
      <c r="G35" s="8">
        <f t="shared" si="0"/>
        <v>2015</v>
      </c>
      <c r="H35" s="9">
        <v>177713572</v>
      </c>
      <c r="I35" s="7">
        <v>42064</v>
      </c>
      <c r="J35" s="10">
        <v>8250</v>
      </c>
      <c r="K35" s="9">
        <v>668.27</v>
      </c>
      <c r="L35" s="9">
        <v>502.54</v>
      </c>
      <c r="M35" s="11">
        <v>5513227.5</v>
      </c>
      <c r="N35" s="11">
        <v>4145955</v>
      </c>
      <c r="O35" s="11">
        <v>1367272.5</v>
      </c>
      <c r="S35" s="25" t="s">
        <v>39</v>
      </c>
      <c r="T35" s="10">
        <f t="shared" si="11"/>
        <v>273</v>
      </c>
      <c r="U35" s="10">
        <f t="shared" si="3"/>
        <v>0</v>
      </c>
      <c r="V35" s="10">
        <f t="shared" si="4"/>
        <v>15078</v>
      </c>
      <c r="W35" s="10">
        <f t="shared" si="5"/>
        <v>2125</v>
      </c>
      <c r="X35" s="10">
        <f t="shared" si="6"/>
        <v>4901</v>
      </c>
      <c r="Y35" s="10">
        <f t="shared" si="7"/>
        <v>11837</v>
      </c>
      <c r="Z35" s="10">
        <f t="shared" si="8"/>
        <v>5070</v>
      </c>
      <c r="AA35" s="10">
        <f t="shared" si="9"/>
        <v>9424</v>
      </c>
      <c r="AB35" s="11">
        <f t="shared" si="10"/>
        <v>48708</v>
      </c>
    </row>
    <row r="36" spans="1:28" x14ac:dyDescent="0.25">
      <c r="A36" s="6" t="s">
        <v>28</v>
      </c>
      <c r="B36" s="6" t="s">
        <v>69</v>
      </c>
      <c r="C36" s="6" t="s">
        <v>58</v>
      </c>
      <c r="D36" s="6" t="s">
        <v>22</v>
      </c>
      <c r="E36" s="6" t="s">
        <v>35</v>
      </c>
      <c r="F36" s="7">
        <v>42791</v>
      </c>
      <c r="G36" s="8">
        <f t="shared" si="0"/>
        <v>2017</v>
      </c>
      <c r="H36" s="9">
        <v>756274640</v>
      </c>
      <c r="I36" s="7">
        <v>42791</v>
      </c>
      <c r="J36" s="10">
        <v>7327</v>
      </c>
      <c r="K36" s="9">
        <v>152.58000000000001</v>
      </c>
      <c r="L36" s="9">
        <v>97.44</v>
      </c>
      <c r="M36" s="11">
        <v>1117953.6599999999</v>
      </c>
      <c r="N36" s="11">
        <v>713942.88</v>
      </c>
      <c r="O36" s="11">
        <v>404010.78</v>
      </c>
      <c r="S36" s="25" t="s">
        <v>44</v>
      </c>
      <c r="T36" s="10">
        <f t="shared" si="11"/>
        <v>18290</v>
      </c>
      <c r="U36" s="10">
        <f t="shared" si="3"/>
        <v>888</v>
      </c>
      <c r="V36" s="10">
        <f t="shared" si="4"/>
        <v>13039</v>
      </c>
      <c r="W36" s="10">
        <f t="shared" si="5"/>
        <v>0</v>
      </c>
      <c r="X36" s="10">
        <f t="shared" si="6"/>
        <v>12010</v>
      </c>
      <c r="Y36" s="10">
        <f t="shared" si="7"/>
        <v>13272</v>
      </c>
      <c r="Z36" s="10">
        <f t="shared" si="8"/>
        <v>5498</v>
      </c>
      <c r="AA36" s="10">
        <f t="shared" si="9"/>
        <v>8263</v>
      </c>
      <c r="AB36" s="11">
        <f t="shared" si="10"/>
        <v>71260</v>
      </c>
    </row>
    <row r="37" spans="1:28" x14ac:dyDescent="0.25">
      <c r="A37" s="6" t="s">
        <v>19</v>
      </c>
      <c r="B37" s="6" t="s">
        <v>70</v>
      </c>
      <c r="C37" s="6" t="s">
        <v>39</v>
      </c>
      <c r="D37" s="6" t="s">
        <v>17</v>
      </c>
      <c r="E37" s="6" t="s">
        <v>27</v>
      </c>
      <c r="F37" s="7">
        <v>42863</v>
      </c>
      <c r="G37" s="8">
        <f t="shared" si="0"/>
        <v>2017</v>
      </c>
      <c r="H37" s="9">
        <v>456767165</v>
      </c>
      <c r="I37" s="7">
        <v>42876</v>
      </c>
      <c r="J37" s="10">
        <v>6409</v>
      </c>
      <c r="K37" s="9">
        <v>81.73</v>
      </c>
      <c r="L37" s="9">
        <v>56.67</v>
      </c>
      <c r="M37" s="11">
        <v>523807.57</v>
      </c>
      <c r="N37" s="11">
        <v>363198.03</v>
      </c>
      <c r="O37" s="11">
        <v>160609.54</v>
      </c>
      <c r="S37" s="25" t="s">
        <v>50</v>
      </c>
      <c r="T37" s="10">
        <f t="shared" si="11"/>
        <v>15144</v>
      </c>
      <c r="U37" s="10">
        <f t="shared" si="3"/>
        <v>0</v>
      </c>
      <c r="V37" s="10">
        <f t="shared" si="4"/>
        <v>8661</v>
      </c>
      <c r="W37" s="10">
        <f t="shared" si="5"/>
        <v>25728</v>
      </c>
      <c r="X37" s="10">
        <f t="shared" si="6"/>
        <v>7215</v>
      </c>
      <c r="Y37" s="10">
        <f t="shared" si="7"/>
        <v>2847</v>
      </c>
      <c r="Z37" s="10">
        <f t="shared" si="8"/>
        <v>22308</v>
      </c>
      <c r="AA37" s="10">
        <f t="shared" si="9"/>
        <v>1815</v>
      </c>
      <c r="AB37" s="11">
        <f t="shared" si="10"/>
        <v>83718</v>
      </c>
    </row>
    <row r="38" spans="1:28" x14ac:dyDescent="0.25">
      <c r="A38" s="6" t="s">
        <v>71</v>
      </c>
      <c r="B38" s="6" t="s">
        <v>72</v>
      </c>
      <c r="C38" s="6" t="s">
        <v>30</v>
      </c>
      <c r="D38" s="6" t="s">
        <v>22</v>
      </c>
      <c r="E38" s="6" t="s">
        <v>27</v>
      </c>
      <c r="F38" s="7">
        <v>40869</v>
      </c>
      <c r="G38" s="8">
        <f t="shared" si="0"/>
        <v>2011</v>
      </c>
      <c r="H38" s="9">
        <v>162052476</v>
      </c>
      <c r="I38" s="7">
        <v>40880</v>
      </c>
      <c r="J38" s="10">
        <v>3784</v>
      </c>
      <c r="K38" s="9">
        <v>9.33</v>
      </c>
      <c r="L38" s="9">
        <v>6.92</v>
      </c>
      <c r="M38" s="11">
        <v>35304.720000000001</v>
      </c>
      <c r="N38" s="11">
        <v>26185.279999999999</v>
      </c>
      <c r="O38" s="11">
        <v>9119.44</v>
      </c>
      <c r="S38" s="25" t="s">
        <v>52</v>
      </c>
      <c r="T38" s="10">
        <f t="shared" si="11"/>
        <v>0</v>
      </c>
      <c r="U38" s="10">
        <f t="shared" si="3"/>
        <v>22726</v>
      </c>
      <c r="V38" s="10">
        <f t="shared" si="4"/>
        <v>0</v>
      </c>
      <c r="W38" s="10">
        <f t="shared" si="5"/>
        <v>0</v>
      </c>
      <c r="X38" s="10">
        <f t="shared" si="6"/>
        <v>23892</v>
      </c>
      <c r="Y38" s="10">
        <f t="shared" si="7"/>
        <v>5430</v>
      </c>
      <c r="Z38" s="10">
        <f t="shared" si="8"/>
        <v>4660</v>
      </c>
      <c r="AA38" s="10">
        <f t="shared" si="9"/>
        <v>0</v>
      </c>
      <c r="AB38" s="11">
        <f t="shared" si="10"/>
        <v>56708</v>
      </c>
    </row>
    <row r="39" spans="1:28" x14ac:dyDescent="0.25">
      <c r="A39" s="6" t="s">
        <v>28</v>
      </c>
      <c r="B39" s="6" t="s">
        <v>64</v>
      </c>
      <c r="C39" s="6" t="s">
        <v>55</v>
      </c>
      <c r="D39" s="6" t="s">
        <v>22</v>
      </c>
      <c r="E39" s="6" t="s">
        <v>35</v>
      </c>
      <c r="F39" s="7">
        <v>42749</v>
      </c>
      <c r="G39" s="8">
        <f t="shared" si="0"/>
        <v>2017</v>
      </c>
      <c r="H39" s="9">
        <v>825304400</v>
      </c>
      <c r="I39" s="7">
        <v>42758</v>
      </c>
      <c r="J39" s="10">
        <v>4767</v>
      </c>
      <c r="K39" s="9">
        <v>421.89</v>
      </c>
      <c r="L39" s="9">
        <v>364.69</v>
      </c>
      <c r="M39" s="11">
        <v>2011149.63</v>
      </c>
      <c r="N39" s="11">
        <v>1738477.23</v>
      </c>
      <c r="O39" s="11">
        <v>272672.40000000002</v>
      </c>
      <c r="S39" s="25" t="s">
        <v>55</v>
      </c>
      <c r="T39" s="10">
        <f t="shared" si="11"/>
        <v>0</v>
      </c>
      <c r="U39" s="10">
        <f t="shared" si="3"/>
        <v>0</v>
      </c>
      <c r="V39" s="10">
        <f t="shared" si="4"/>
        <v>5908</v>
      </c>
      <c r="W39" s="10">
        <f t="shared" si="5"/>
        <v>0</v>
      </c>
      <c r="X39" s="10">
        <f t="shared" si="6"/>
        <v>0</v>
      </c>
      <c r="Y39" s="10">
        <f t="shared" si="7"/>
        <v>0</v>
      </c>
      <c r="Z39" s="10">
        <f t="shared" si="8"/>
        <v>0</v>
      </c>
      <c r="AA39" s="10">
        <f t="shared" si="9"/>
        <v>4767</v>
      </c>
      <c r="AB39" s="11">
        <f t="shared" si="10"/>
        <v>10675</v>
      </c>
    </row>
    <row r="40" spans="1:28" x14ac:dyDescent="0.25">
      <c r="A40" s="6" t="s">
        <v>41</v>
      </c>
      <c r="B40" s="6" t="s">
        <v>73</v>
      </c>
      <c r="C40" s="6" t="s">
        <v>26</v>
      </c>
      <c r="D40" s="6" t="s">
        <v>22</v>
      </c>
      <c r="E40" s="6" t="s">
        <v>27</v>
      </c>
      <c r="F40" s="7">
        <v>41000</v>
      </c>
      <c r="G40" s="8">
        <f t="shared" si="0"/>
        <v>2012</v>
      </c>
      <c r="H40" s="9">
        <v>320009267</v>
      </c>
      <c r="I40" s="7">
        <v>41037</v>
      </c>
      <c r="J40" s="10">
        <v>6708</v>
      </c>
      <c r="K40" s="9">
        <v>651.21</v>
      </c>
      <c r="L40" s="9">
        <v>524.96</v>
      </c>
      <c r="M40" s="11">
        <v>4368316.68</v>
      </c>
      <c r="N40" s="11">
        <v>3521431.68</v>
      </c>
      <c r="O40" s="11">
        <v>846885</v>
      </c>
      <c r="S40" s="25" t="s">
        <v>58</v>
      </c>
      <c r="T40" s="10">
        <f t="shared" si="11"/>
        <v>0</v>
      </c>
      <c r="U40" s="10">
        <f t="shared" si="3"/>
        <v>4085</v>
      </c>
      <c r="V40" s="10">
        <f t="shared" si="4"/>
        <v>0</v>
      </c>
      <c r="W40" s="10">
        <f t="shared" si="5"/>
        <v>0</v>
      </c>
      <c r="X40" s="10">
        <f t="shared" si="6"/>
        <v>0</v>
      </c>
      <c r="Y40" s="10">
        <f t="shared" si="7"/>
        <v>0</v>
      </c>
      <c r="Z40" s="10">
        <f t="shared" si="8"/>
        <v>2225</v>
      </c>
      <c r="AA40" s="10">
        <f t="shared" si="9"/>
        <v>7327</v>
      </c>
      <c r="AB40" s="11">
        <f t="shared" si="10"/>
        <v>13637</v>
      </c>
    </row>
    <row r="41" spans="1:28" x14ac:dyDescent="0.25">
      <c r="A41" s="6" t="s">
        <v>24</v>
      </c>
      <c r="B41" s="6" t="s">
        <v>48</v>
      </c>
      <c r="C41" s="6" t="s">
        <v>26</v>
      </c>
      <c r="D41" s="6" t="s">
        <v>22</v>
      </c>
      <c r="E41" s="6" t="s">
        <v>35</v>
      </c>
      <c r="F41" s="7">
        <v>40955</v>
      </c>
      <c r="G41" s="8">
        <f t="shared" si="0"/>
        <v>2012</v>
      </c>
      <c r="H41" s="9">
        <v>189965903</v>
      </c>
      <c r="I41" s="7">
        <v>40967</v>
      </c>
      <c r="J41" s="10">
        <v>3987</v>
      </c>
      <c r="K41" s="9">
        <v>651.21</v>
      </c>
      <c r="L41" s="9">
        <v>524.96</v>
      </c>
      <c r="M41" s="11">
        <v>2596374.27</v>
      </c>
      <c r="N41" s="11">
        <v>2093015.52</v>
      </c>
      <c r="O41" s="11">
        <v>503358.75</v>
      </c>
      <c r="S41" s="22" t="s">
        <v>141</v>
      </c>
      <c r="T41" s="16">
        <f>SUM(T29:T40)</f>
        <v>61571</v>
      </c>
      <c r="U41" s="16">
        <f t="shared" ref="U41:AA41" si="12">SUM(U29:U40)</f>
        <v>54768</v>
      </c>
      <c r="V41" s="16">
        <f t="shared" si="12"/>
        <v>97967</v>
      </c>
      <c r="W41" s="16">
        <f t="shared" si="12"/>
        <v>64663</v>
      </c>
      <c r="X41" s="16">
        <f t="shared" si="12"/>
        <v>92040</v>
      </c>
      <c r="Y41" s="16">
        <f t="shared" si="12"/>
        <v>49480</v>
      </c>
      <c r="Z41" s="16">
        <f t="shared" si="12"/>
        <v>43156</v>
      </c>
      <c r="AA41" s="16">
        <f t="shared" si="12"/>
        <v>49226</v>
      </c>
      <c r="AB41" s="33">
        <f>SUM(AB29:AB40)</f>
        <v>512871</v>
      </c>
    </row>
    <row r="42" spans="1:28" x14ac:dyDescent="0.25">
      <c r="A42" s="6" t="s">
        <v>28</v>
      </c>
      <c r="B42" s="6" t="s">
        <v>74</v>
      </c>
      <c r="C42" s="6" t="s">
        <v>39</v>
      </c>
      <c r="D42" s="6" t="s">
        <v>22</v>
      </c>
      <c r="E42" s="6" t="s">
        <v>18</v>
      </c>
      <c r="F42" s="7">
        <v>42805</v>
      </c>
      <c r="G42" s="8">
        <f t="shared" si="0"/>
        <v>2017</v>
      </c>
      <c r="H42" s="9">
        <v>699285638</v>
      </c>
      <c r="I42" s="7">
        <v>42822</v>
      </c>
      <c r="J42" s="10">
        <v>3015</v>
      </c>
      <c r="K42" s="9">
        <v>81.73</v>
      </c>
      <c r="L42" s="9">
        <v>56.67</v>
      </c>
      <c r="M42" s="11">
        <v>246415.95</v>
      </c>
      <c r="N42" s="11">
        <v>170860.05</v>
      </c>
      <c r="O42" s="11">
        <v>75555.899999999994</v>
      </c>
    </row>
    <row r="43" spans="1:28" x14ac:dyDescent="0.25">
      <c r="A43" s="6" t="s">
        <v>71</v>
      </c>
      <c r="B43" s="6" t="s">
        <v>75</v>
      </c>
      <c r="C43" s="6" t="s">
        <v>50</v>
      </c>
      <c r="D43" s="6" t="s">
        <v>22</v>
      </c>
      <c r="E43" s="6" t="s">
        <v>35</v>
      </c>
      <c r="F43" s="7">
        <v>40215</v>
      </c>
      <c r="G43" s="8">
        <f t="shared" si="0"/>
        <v>2010</v>
      </c>
      <c r="H43" s="9">
        <v>382392299</v>
      </c>
      <c r="I43" s="7">
        <v>40234</v>
      </c>
      <c r="J43" s="10">
        <v>7234</v>
      </c>
      <c r="K43" s="9">
        <v>437.2</v>
      </c>
      <c r="L43" s="9">
        <v>263.33</v>
      </c>
      <c r="M43" s="11">
        <v>3162704.8</v>
      </c>
      <c r="N43" s="11">
        <v>1904929.22</v>
      </c>
      <c r="O43" s="11">
        <v>1257775.58</v>
      </c>
      <c r="S43" s="40" t="s">
        <v>133</v>
      </c>
      <c r="T43" s="40"/>
      <c r="U43" s="40"/>
    </row>
    <row r="44" spans="1:28" x14ac:dyDescent="0.25">
      <c r="A44" s="6" t="s">
        <v>28</v>
      </c>
      <c r="B44" s="6" t="s">
        <v>64</v>
      </c>
      <c r="C44" s="6" t="s">
        <v>21</v>
      </c>
      <c r="D44" s="6" t="s">
        <v>17</v>
      </c>
      <c r="E44" s="6" t="s">
        <v>18</v>
      </c>
      <c r="F44" s="7">
        <v>41067</v>
      </c>
      <c r="G44" s="8">
        <f t="shared" si="0"/>
        <v>2012</v>
      </c>
      <c r="H44" s="9">
        <v>994022214</v>
      </c>
      <c r="I44" s="7">
        <v>41068</v>
      </c>
      <c r="J44" s="10">
        <v>2117</v>
      </c>
      <c r="K44" s="9">
        <v>205.7</v>
      </c>
      <c r="L44" s="9">
        <v>117.11</v>
      </c>
      <c r="M44" s="11">
        <v>435466.9</v>
      </c>
      <c r="N44" s="11">
        <v>247921.87</v>
      </c>
      <c r="O44" s="11">
        <v>187545.03</v>
      </c>
      <c r="S44" s="12" t="s">
        <v>121</v>
      </c>
      <c r="T44" s="19" t="s">
        <v>123</v>
      </c>
      <c r="U44" s="19" t="s">
        <v>125</v>
      </c>
    </row>
    <row r="45" spans="1:28" x14ac:dyDescent="0.25">
      <c r="A45" s="6" t="s">
        <v>24</v>
      </c>
      <c r="B45" s="6" t="s">
        <v>76</v>
      </c>
      <c r="C45" s="6" t="s">
        <v>37</v>
      </c>
      <c r="D45" s="6" t="s">
        <v>22</v>
      </c>
      <c r="E45" s="6" t="s">
        <v>18</v>
      </c>
      <c r="F45" s="7">
        <v>41188</v>
      </c>
      <c r="G45" s="8">
        <f t="shared" si="0"/>
        <v>2012</v>
      </c>
      <c r="H45" s="9">
        <v>759224212</v>
      </c>
      <c r="I45" s="7">
        <v>41223</v>
      </c>
      <c r="J45" s="10">
        <v>171</v>
      </c>
      <c r="K45" s="9">
        <v>154.06</v>
      </c>
      <c r="L45" s="9">
        <v>90.93</v>
      </c>
      <c r="M45" s="11">
        <v>26344.26</v>
      </c>
      <c r="N45" s="11">
        <v>15549.03</v>
      </c>
      <c r="O45" s="11">
        <v>10795.23</v>
      </c>
      <c r="S45" s="6" t="s">
        <v>41</v>
      </c>
      <c r="T45" s="11">
        <f>SUMIF($A$2:$A$101,S45,$M$2:$M$101)</f>
        <v>21347091.020000003</v>
      </c>
      <c r="U45" s="23">
        <f>(T45/$T$52)*100</f>
        <v>15.542251512455522</v>
      </c>
    </row>
    <row r="46" spans="1:28" x14ac:dyDescent="0.25">
      <c r="A46" s="6" t="s">
        <v>41</v>
      </c>
      <c r="B46" s="6" t="s">
        <v>68</v>
      </c>
      <c r="C46" s="6" t="s">
        <v>44</v>
      </c>
      <c r="D46" s="6" t="s">
        <v>22</v>
      </c>
      <c r="E46" s="6" t="s">
        <v>18</v>
      </c>
      <c r="F46" s="7">
        <v>42322</v>
      </c>
      <c r="G46" s="8">
        <f t="shared" si="0"/>
        <v>2015</v>
      </c>
      <c r="H46" s="9">
        <v>223359620</v>
      </c>
      <c r="I46" s="7">
        <v>42326</v>
      </c>
      <c r="J46" s="10">
        <v>5930</v>
      </c>
      <c r="K46" s="9">
        <v>109.28</v>
      </c>
      <c r="L46" s="9">
        <v>35.840000000000003</v>
      </c>
      <c r="M46" s="11">
        <v>648030.4</v>
      </c>
      <c r="N46" s="11">
        <v>212531.20000000001</v>
      </c>
      <c r="O46" s="11">
        <v>435499.2</v>
      </c>
      <c r="S46" s="6" t="s">
        <v>14</v>
      </c>
      <c r="T46" s="11">
        <f t="shared" ref="T46:T51" si="13">SUMIF($A$2:$A$101,S46,$M$2:$M$101)</f>
        <v>14094265.130000003</v>
      </c>
      <c r="U46" s="23">
        <f t="shared" ref="U46:U51" si="14">(T46/$T$52)*100</f>
        <v>10.261661100730699</v>
      </c>
    </row>
    <row r="47" spans="1:28" x14ac:dyDescent="0.25">
      <c r="A47" s="6" t="s">
        <v>28</v>
      </c>
      <c r="B47" s="6" t="s">
        <v>77</v>
      </c>
      <c r="C47" s="6" t="s">
        <v>21</v>
      </c>
      <c r="D47" s="6" t="s">
        <v>17</v>
      </c>
      <c r="E47" s="6" t="s">
        <v>18</v>
      </c>
      <c r="F47" s="7">
        <v>42458</v>
      </c>
      <c r="G47" s="8">
        <f t="shared" si="0"/>
        <v>2016</v>
      </c>
      <c r="H47" s="9">
        <v>902102267</v>
      </c>
      <c r="I47" s="7">
        <v>42489</v>
      </c>
      <c r="J47" s="10">
        <v>962</v>
      </c>
      <c r="K47" s="9">
        <v>205.7</v>
      </c>
      <c r="L47" s="9">
        <v>117.11</v>
      </c>
      <c r="M47" s="11">
        <v>197883.4</v>
      </c>
      <c r="N47" s="11">
        <v>112659.82</v>
      </c>
      <c r="O47" s="11">
        <v>85223.58</v>
      </c>
      <c r="S47" s="6" t="s">
        <v>19</v>
      </c>
      <c r="T47" s="11">
        <f t="shared" si="13"/>
        <v>9170385.4900000002</v>
      </c>
      <c r="U47" s="23">
        <f t="shared" si="14"/>
        <v>6.6767147625977863</v>
      </c>
    </row>
    <row r="48" spans="1:28" x14ac:dyDescent="0.25">
      <c r="A48" s="6" t="s">
        <v>24</v>
      </c>
      <c r="B48" s="6" t="s">
        <v>78</v>
      </c>
      <c r="C48" s="6" t="s">
        <v>50</v>
      </c>
      <c r="D48" s="6" t="s">
        <v>22</v>
      </c>
      <c r="E48" s="6" t="s">
        <v>23</v>
      </c>
      <c r="F48" s="7">
        <v>42735</v>
      </c>
      <c r="G48" s="8">
        <f t="shared" si="0"/>
        <v>2016</v>
      </c>
      <c r="H48" s="9">
        <v>331438481</v>
      </c>
      <c r="I48" s="7">
        <v>42735</v>
      </c>
      <c r="J48" s="10">
        <v>8867</v>
      </c>
      <c r="K48" s="9">
        <v>437.2</v>
      </c>
      <c r="L48" s="9">
        <v>263.33</v>
      </c>
      <c r="M48" s="11">
        <v>3876652.4</v>
      </c>
      <c r="N48" s="11">
        <v>2334947.11</v>
      </c>
      <c r="O48" s="11">
        <v>1541705.29</v>
      </c>
      <c r="S48" s="6" t="s">
        <v>24</v>
      </c>
      <c r="T48" s="11">
        <f t="shared" si="13"/>
        <v>33368932.109999999</v>
      </c>
      <c r="U48" s="23">
        <f t="shared" si="14"/>
        <v>24.295035565725197</v>
      </c>
    </row>
    <row r="49" spans="1:22" x14ac:dyDescent="0.25">
      <c r="A49" s="6" t="s">
        <v>24</v>
      </c>
      <c r="B49" s="6" t="s">
        <v>65</v>
      </c>
      <c r="C49" s="6" t="s">
        <v>39</v>
      </c>
      <c r="D49" s="6" t="s">
        <v>22</v>
      </c>
      <c r="E49" s="6" t="s">
        <v>35</v>
      </c>
      <c r="F49" s="7">
        <v>40535</v>
      </c>
      <c r="G49" s="8">
        <f t="shared" si="0"/>
        <v>2010</v>
      </c>
      <c r="H49" s="9">
        <v>617667090</v>
      </c>
      <c r="I49" s="7">
        <v>40574</v>
      </c>
      <c r="J49" s="10">
        <v>273</v>
      </c>
      <c r="K49" s="9">
        <v>81.73</v>
      </c>
      <c r="L49" s="9">
        <v>56.67</v>
      </c>
      <c r="M49" s="11">
        <v>22312.29</v>
      </c>
      <c r="N49" s="11">
        <v>15470.91</v>
      </c>
      <c r="O49" s="11">
        <v>6841.38</v>
      </c>
      <c r="S49" s="6" t="s">
        <v>71</v>
      </c>
      <c r="T49" s="11">
        <f t="shared" si="13"/>
        <v>14052706.58</v>
      </c>
      <c r="U49" s="23">
        <f t="shared" si="14"/>
        <v>10.231403421312558</v>
      </c>
    </row>
    <row r="50" spans="1:22" x14ac:dyDescent="0.25">
      <c r="A50" s="6" t="s">
        <v>24</v>
      </c>
      <c r="B50" s="6" t="s">
        <v>79</v>
      </c>
      <c r="C50" s="6" t="s">
        <v>44</v>
      </c>
      <c r="D50" s="6" t="s">
        <v>17</v>
      </c>
      <c r="E50" s="6" t="s">
        <v>23</v>
      </c>
      <c r="F50" s="7">
        <v>41926</v>
      </c>
      <c r="G50" s="8">
        <f t="shared" si="0"/>
        <v>2014</v>
      </c>
      <c r="H50" s="9">
        <v>787399423</v>
      </c>
      <c r="I50" s="7">
        <v>41957</v>
      </c>
      <c r="J50" s="10">
        <v>7842</v>
      </c>
      <c r="K50" s="9">
        <v>109.28</v>
      </c>
      <c r="L50" s="9">
        <v>35.840000000000003</v>
      </c>
      <c r="M50" s="11">
        <v>856973.76</v>
      </c>
      <c r="N50" s="11">
        <v>281057.28000000003</v>
      </c>
      <c r="O50" s="11">
        <v>575916.48</v>
      </c>
      <c r="S50" s="6" t="s">
        <v>98</v>
      </c>
      <c r="T50" s="11">
        <f t="shared" si="13"/>
        <v>5643356.5500000007</v>
      </c>
      <c r="U50" s="23">
        <f t="shared" si="14"/>
        <v>4.1087784182110658</v>
      </c>
    </row>
    <row r="51" spans="1:22" x14ac:dyDescent="0.25">
      <c r="A51" s="6" t="s">
        <v>28</v>
      </c>
      <c r="B51" s="6" t="s">
        <v>80</v>
      </c>
      <c r="C51" s="6" t="s">
        <v>26</v>
      </c>
      <c r="D51" s="6" t="s">
        <v>17</v>
      </c>
      <c r="E51" s="6" t="s">
        <v>23</v>
      </c>
      <c r="F51" s="7">
        <v>40919</v>
      </c>
      <c r="G51" s="8">
        <f t="shared" si="0"/>
        <v>2012</v>
      </c>
      <c r="H51" s="9">
        <v>837559306</v>
      </c>
      <c r="I51" s="7">
        <v>40921</v>
      </c>
      <c r="J51" s="10">
        <v>1266</v>
      </c>
      <c r="K51" s="9">
        <v>651.21</v>
      </c>
      <c r="L51" s="9">
        <v>524.96</v>
      </c>
      <c r="M51" s="11">
        <v>824431.86</v>
      </c>
      <c r="N51" s="11">
        <v>664599.36</v>
      </c>
      <c r="O51" s="11">
        <v>159832.5</v>
      </c>
      <c r="S51" s="6" t="s">
        <v>28</v>
      </c>
      <c r="T51" s="11">
        <f t="shared" si="13"/>
        <v>39672031.430000007</v>
      </c>
      <c r="U51" s="23">
        <f t="shared" si="14"/>
        <v>28.884155218967184</v>
      </c>
    </row>
    <row r="52" spans="1:22" x14ac:dyDescent="0.25">
      <c r="A52" s="6" t="s">
        <v>24</v>
      </c>
      <c r="B52" s="6" t="s">
        <v>81</v>
      </c>
      <c r="C52" s="6" t="s">
        <v>44</v>
      </c>
      <c r="D52" s="6" t="s">
        <v>22</v>
      </c>
      <c r="E52" s="6" t="s">
        <v>23</v>
      </c>
      <c r="F52" s="7">
        <v>40211</v>
      </c>
      <c r="G52" s="8">
        <f t="shared" si="0"/>
        <v>2010</v>
      </c>
      <c r="H52" s="9">
        <v>385383069</v>
      </c>
      <c r="I52" s="7">
        <v>40255</v>
      </c>
      <c r="J52" s="10">
        <v>2269</v>
      </c>
      <c r="K52" s="9">
        <v>109.28</v>
      </c>
      <c r="L52" s="9">
        <v>35.840000000000003</v>
      </c>
      <c r="M52" s="11">
        <v>247956.32</v>
      </c>
      <c r="N52" s="11">
        <v>81320.960000000006</v>
      </c>
      <c r="O52" s="11">
        <v>166635.35999999999</v>
      </c>
      <c r="S52" s="12" t="s">
        <v>124</v>
      </c>
      <c r="T52" s="17">
        <f>SUM(T45:T51)</f>
        <v>137348768.31</v>
      </c>
      <c r="U52" s="24">
        <f>SUM(U45:U51)</f>
        <v>100.00000000000001</v>
      </c>
    </row>
    <row r="53" spans="1:22" x14ac:dyDescent="0.25">
      <c r="A53" s="6" t="s">
        <v>28</v>
      </c>
      <c r="B53" s="6" t="s">
        <v>82</v>
      </c>
      <c r="C53" s="6" t="s">
        <v>30</v>
      </c>
      <c r="D53" s="6" t="s">
        <v>22</v>
      </c>
      <c r="E53" s="6" t="s">
        <v>27</v>
      </c>
      <c r="F53" s="7">
        <v>41504</v>
      </c>
      <c r="G53" s="8">
        <f t="shared" si="0"/>
        <v>2013</v>
      </c>
      <c r="H53" s="9">
        <v>918419539</v>
      </c>
      <c r="I53" s="7">
        <v>41535</v>
      </c>
      <c r="J53" s="10">
        <v>9606</v>
      </c>
      <c r="K53" s="9">
        <v>9.33</v>
      </c>
      <c r="L53" s="9">
        <v>6.92</v>
      </c>
      <c r="M53" s="11">
        <v>89623.98</v>
      </c>
      <c r="N53" s="11">
        <v>66473.52</v>
      </c>
      <c r="O53" s="11">
        <v>23150.46</v>
      </c>
    </row>
    <row r="54" spans="1:22" x14ac:dyDescent="0.25">
      <c r="A54" s="6" t="s">
        <v>71</v>
      </c>
      <c r="B54" s="6" t="s">
        <v>83</v>
      </c>
      <c r="C54" s="6" t="s">
        <v>21</v>
      </c>
      <c r="D54" s="6" t="s">
        <v>22</v>
      </c>
      <c r="E54" s="6" t="s">
        <v>35</v>
      </c>
      <c r="F54" s="7">
        <v>41358</v>
      </c>
      <c r="G54" s="8">
        <f t="shared" si="0"/>
        <v>2013</v>
      </c>
      <c r="H54" s="9">
        <v>844530045</v>
      </c>
      <c r="I54" s="7">
        <v>41361</v>
      </c>
      <c r="J54" s="10">
        <v>4063</v>
      </c>
      <c r="K54" s="9">
        <v>205.7</v>
      </c>
      <c r="L54" s="9">
        <v>117.11</v>
      </c>
      <c r="M54" s="11">
        <v>835759.1</v>
      </c>
      <c r="N54" s="11">
        <v>475817.93</v>
      </c>
      <c r="O54" s="11">
        <v>359941.17</v>
      </c>
      <c r="S54" s="39" t="s">
        <v>129</v>
      </c>
      <c r="T54" s="39"/>
      <c r="U54" s="39"/>
      <c r="V54" s="39"/>
    </row>
    <row r="55" spans="1:22" x14ac:dyDescent="0.25">
      <c r="A55" s="6" t="s">
        <v>28</v>
      </c>
      <c r="B55" s="6" t="s">
        <v>84</v>
      </c>
      <c r="C55" s="6" t="s">
        <v>26</v>
      </c>
      <c r="D55" s="6" t="s">
        <v>17</v>
      </c>
      <c r="E55" s="6" t="s">
        <v>35</v>
      </c>
      <c r="F55" s="7">
        <v>40873</v>
      </c>
      <c r="G55" s="8">
        <f t="shared" si="0"/>
        <v>2011</v>
      </c>
      <c r="H55" s="9">
        <v>441888415</v>
      </c>
      <c r="I55" s="7">
        <v>40915</v>
      </c>
      <c r="J55" s="10">
        <v>3457</v>
      </c>
      <c r="K55" s="9">
        <v>651.21</v>
      </c>
      <c r="L55" s="9">
        <v>524.96</v>
      </c>
      <c r="M55" s="11">
        <v>2251232.9700000002</v>
      </c>
      <c r="N55" s="11">
        <v>1814786.72</v>
      </c>
      <c r="O55" s="11">
        <v>436446.25</v>
      </c>
      <c r="S55" s="12" t="s">
        <v>2</v>
      </c>
      <c r="T55" s="19" t="s">
        <v>11</v>
      </c>
      <c r="U55" s="19" t="s">
        <v>13</v>
      </c>
      <c r="V55" s="19" t="s">
        <v>134</v>
      </c>
    </row>
    <row r="56" spans="1:22" x14ac:dyDescent="0.25">
      <c r="A56" s="6" t="s">
        <v>28</v>
      </c>
      <c r="B56" s="6" t="s">
        <v>29</v>
      </c>
      <c r="C56" s="6" t="s">
        <v>30</v>
      </c>
      <c r="D56" s="6" t="s">
        <v>17</v>
      </c>
      <c r="E56" s="6" t="s">
        <v>18</v>
      </c>
      <c r="F56" s="7">
        <v>41534</v>
      </c>
      <c r="G56" s="8">
        <f t="shared" si="0"/>
        <v>2013</v>
      </c>
      <c r="H56" s="9">
        <v>508980977</v>
      </c>
      <c r="I56" s="7">
        <v>41571</v>
      </c>
      <c r="J56" s="10">
        <v>7637</v>
      </c>
      <c r="K56" s="9">
        <v>9.33</v>
      </c>
      <c r="L56" s="9">
        <v>6.92</v>
      </c>
      <c r="M56" s="11">
        <v>71253.210000000006</v>
      </c>
      <c r="N56" s="11">
        <v>52848.04</v>
      </c>
      <c r="O56" s="11">
        <v>18405.169999999998</v>
      </c>
      <c r="S56" s="25" t="s">
        <v>16</v>
      </c>
      <c r="T56" s="11">
        <f>SUMIF($C$2:$C$101,S56,$M$2:$M$101)</f>
        <v>10350327.6</v>
      </c>
      <c r="U56" s="11">
        <f>SUMIF($C$2:$C$101,S56,$O$2:$O$101)</f>
        <v>3886643.7</v>
      </c>
      <c r="V56" s="31">
        <f>(U56/T56)*100</f>
        <v>37.550924475086184</v>
      </c>
    </row>
    <row r="57" spans="1:22" x14ac:dyDescent="0.25">
      <c r="A57" s="6" t="s">
        <v>28</v>
      </c>
      <c r="B57" s="6" t="s">
        <v>85</v>
      </c>
      <c r="C57" s="6" t="s">
        <v>44</v>
      </c>
      <c r="D57" s="6" t="s">
        <v>22</v>
      </c>
      <c r="E57" s="6" t="s">
        <v>23</v>
      </c>
      <c r="F57" s="7">
        <v>41068</v>
      </c>
      <c r="G57" s="8">
        <f t="shared" si="0"/>
        <v>2012</v>
      </c>
      <c r="H57" s="9">
        <v>114606559</v>
      </c>
      <c r="I57" s="7">
        <v>41087</v>
      </c>
      <c r="J57" s="10">
        <v>3482</v>
      </c>
      <c r="K57" s="9">
        <v>109.28</v>
      </c>
      <c r="L57" s="9">
        <v>35.840000000000003</v>
      </c>
      <c r="M57" s="11">
        <v>380512.96</v>
      </c>
      <c r="N57" s="11">
        <v>124794.88</v>
      </c>
      <c r="O57" s="11">
        <v>255718.08</v>
      </c>
      <c r="S57" s="25" t="s">
        <v>21</v>
      </c>
      <c r="T57" s="11">
        <f t="shared" ref="T57:T67" si="15">SUMIF($C$2:$C$101,S57,$M$2:$M$101)</f>
        <v>5322898.9000000004</v>
      </c>
      <c r="U57" s="11">
        <f t="shared" ref="U57:U67" si="16">SUMIF($C$2:$C$101,S57,$O$2:$O$101)</f>
        <v>2292443.4299999997</v>
      </c>
      <c r="V57" s="31">
        <f t="shared" ref="V57:V67" si="17">(U57/T57)*100</f>
        <v>43.067574137092848</v>
      </c>
    </row>
    <row r="58" spans="1:22" x14ac:dyDescent="0.25">
      <c r="A58" s="6" t="s">
        <v>14</v>
      </c>
      <c r="B58" s="6" t="s">
        <v>86</v>
      </c>
      <c r="C58" s="6" t="s">
        <v>44</v>
      </c>
      <c r="D58" s="6" t="s">
        <v>17</v>
      </c>
      <c r="E58" s="6" t="s">
        <v>23</v>
      </c>
      <c r="F58" s="7">
        <v>40359</v>
      </c>
      <c r="G58" s="8">
        <f t="shared" si="0"/>
        <v>2010</v>
      </c>
      <c r="H58" s="9">
        <v>647876489</v>
      </c>
      <c r="I58" s="7">
        <v>40391</v>
      </c>
      <c r="J58" s="10">
        <v>9905</v>
      </c>
      <c r="K58" s="9">
        <v>109.28</v>
      </c>
      <c r="L58" s="9">
        <v>35.840000000000003</v>
      </c>
      <c r="M58" s="11">
        <v>1082418.3999999999</v>
      </c>
      <c r="N58" s="11">
        <v>354995.20000000001</v>
      </c>
      <c r="O58" s="11">
        <v>727423.2</v>
      </c>
      <c r="S58" s="25" t="s">
        <v>26</v>
      </c>
      <c r="T58" s="11">
        <f t="shared" si="15"/>
        <v>30585380.07</v>
      </c>
      <c r="U58" s="11">
        <f t="shared" si="16"/>
        <v>5929583.75</v>
      </c>
      <c r="V58" s="31">
        <f t="shared" si="17"/>
        <v>19.386987300563565</v>
      </c>
    </row>
    <row r="59" spans="1:22" x14ac:dyDescent="0.25">
      <c r="A59" s="6" t="s">
        <v>24</v>
      </c>
      <c r="B59" s="6" t="s">
        <v>87</v>
      </c>
      <c r="C59" s="6" t="s">
        <v>50</v>
      </c>
      <c r="D59" s="6" t="s">
        <v>17</v>
      </c>
      <c r="E59" s="6" t="s">
        <v>18</v>
      </c>
      <c r="F59" s="7">
        <v>42058</v>
      </c>
      <c r="G59" s="8">
        <f t="shared" si="0"/>
        <v>2015</v>
      </c>
      <c r="H59" s="9">
        <v>868214595</v>
      </c>
      <c r="I59" s="7">
        <v>42065</v>
      </c>
      <c r="J59" s="10">
        <v>2847</v>
      </c>
      <c r="K59" s="9">
        <v>437.2</v>
      </c>
      <c r="L59" s="9">
        <v>263.33</v>
      </c>
      <c r="M59" s="11">
        <v>1244708.3999999999</v>
      </c>
      <c r="N59" s="11">
        <v>749700.51</v>
      </c>
      <c r="O59" s="11">
        <v>495007.89</v>
      </c>
      <c r="S59" s="25" t="s">
        <v>30</v>
      </c>
      <c r="T59" s="11">
        <f t="shared" si="15"/>
        <v>466481.34</v>
      </c>
      <c r="U59" s="11">
        <f t="shared" si="16"/>
        <v>120495.18</v>
      </c>
      <c r="V59" s="31">
        <f t="shared" si="17"/>
        <v>25.830653804930332</v>
      </c>
    </row>
    <row r="60" spans="1:22" x14ac:dyDescent="0.25">
      <c r="A60" s="6" t="s">
        <v>24</v>
      </c>
      <c r="B60" s="6" t="s">
        <v>88</v>
      </c>
      <c r="C60" s="6" t="s">
        <v>34</v>
      </c>
      <c r="D60" s="6" t="s">
        <v>22</v>
      </c>
      <c r="E60" s="6" t="s">
        <v>27</v>
      </c>
      <c r="F60" s="7">
        <v>40913</v>
      </c>
      <c r="G60" s="8">
        <f t="shared" si="0"/>
        <v>2012</v>
      </c>
      <c r="H60" s="9">
        <v>955357205</v>
      </c>
      <c r="I60" s="7">
        <v>40953</v>
      </c>
      <c r="J60" s="10">
        <v>282</v>
      </c>
      <c r="K60" s="9">
        <v>668.27</v>
      </c>
      <c r="L60" s="9">
        <v>502.54</v>
      </c>
      <c r="M60" s="11">
        <v>188452.14</v>
      </c>
      <c r="N60" s="11">
        <v>141716.28</v>
      </c>
      <c r="O60" s="11">
        <v>46735.86</v>
      </c>
      <c r="S60" s="25" t="s">
        <v>34</v>
      </c>
      <c r="T60" s="11">
        <f t="shared" si="15"/>
        <v>29889712.289999995</v>
      </c>
      <c r="U60" s="11">
        <f t="shared" si="16"/>
        <v>7412605.7100000009</v>
      </c>
      <c r="V60" s="31">
        <f t="shared" si="17"/>
        <v>24.799856345489104</v>
      </c>
    </row>
    <row r="61" spans="1:22" x14ac:dyDescent="0.25">
      <c r="A61" s="6" t="s">
        <v>28</v>
      </c>
      <c r="B61" s="6" t="s">
        <v>69</v>
      </c>
      <c r="C61" s="6" t="s">
        <v>50</v>
      </c>
      <c r="D61" s="6" t="s">
        <v>17</v>
      </c>
      <c r="E61" s="6" t="s">
        <v>18</v>
      </c>
      <c r="F61" s="7">
        <v>41736</v>
      </c>
      <c r="G61" s="8">
        <f t="shared" si="0"/>
        <v>2014</v>
      </c>
      <c r="H61" s="9">
        <v>259353148</v>
      </c>
      <c r="I61" s="7">
        <v>41748</v>
      </c>
      <c r="J61" s="10">
        <v>7215</v>
      </c>
      <c r="K61" s="9">
        <v>437.2</v>
      </c>
      <c r="L61" s="9">
        <v>263.33</v>
      </c>
      <c r="M61" s="11">
        <v>3154398</v>
      </c>
      <c r="N61" s="11">
        <v>1899925.95</v>
      </c>
      <c r="O61" s="11">
        <v>1254472.05</v>
      </c>
      <c r="S61" s="25" t="s">
        <v>37</v>
      </c>
      <c r="T61" s="11">
        <f t="shared" si="15"/>
        <v>3089057.06</v>
      </c>
      <c r="U61" s="11">
        <f t="shared" si="16"/>
        <v>1265819.6300000001</v>
      </c>
      <c r="V61" s="31">
        <f t="shared" si="17"/>
        <v>40.97754121770739</v>
      </c>
    </row>
    <row r="62" spans="1:22" x14ac:dyDescent="0.25">
      <c r="A62" s="6" t="s">
        <v>14</v>
      </c>
      <c r="B62" s="6" t="s">
        <v>67</v>
      </c>
      <c r="C62" s="6" t="s">
        <v>21</v>
      </c>
      <c r="D62" s="6" t="s">
        <v>17</v>
      </c>
      <c r="E62" s="6" t="s">
        <v>18</v>
      </c>
      <c r="F62" s="7">
        <v>41434</v>
      </c>
      <c r="G62" s="8">
        <f t="shared" si="0"/>
        <v>2013</v>
      </c>
      <c r="H62" s="9">
        <v>450563752</v>
      </c>
      <c r="I62" s="7">
        <v>41457</v>
      </c>
      <c r="J62" s="10">
        <v>682</v>
      </c>
      <c r="K62" s="9">
        <v>205.7</v>
      </c>
      <c r="L62" s="9">
        <v>117.11</v>
      </c>
      <c r="M62" s="11">
        <v>140287.4</v>
      </c>
      <c r="N62" s="11">
        <v>79869.02</v>
      </c>
      <c r="O62" s="11">
        <v>60418.38</v>
      </c>
      <c r="S62" s="25" t="s">
        <v>39</v>
      </c>
      <c r="T62" s="11">
        <f t="shared" si="15"/>
        <v>3980904.8400000003</v>
      </c>
      <c r="U62" s="11">
        <f t="shared" si="16"/>
        <v>1220622.48</v>
      </c>
      <c r="V62" s="31">
        <f t="shared" si="17"/>
        <v>30.661935641747213</v>
      </c>
    </row>
    <row r="63" spans="1:22" x14ac:dyDescent="0.25">
      <c r="A63" s="6" t="s">
        <v>24</v>
      </c>
      <c r="B63" s="6" t="s">
        <v>89</v>
      </c>
      <c r="C63" s="6" t="s">
        <v>16</v>
      </c>
      <c r="D63" s="6" t="s">
        <v>22</v>
      </c>
      <c r="E63" s="6" t="s">
        <v>27</v>
      </c>
      <c r="F63" s="7">
        <v>41451</v>
      </c>
      <c r="G63" s="8">
        <f t="shared" si="0"/>
        <v>2013</v>
      </c>
      <c r="H63" s="9">
        <v>569662845</v>
      </c>
      <c r="I63" s="7">
        <v>41456</v>
      </c>
      <c r="J63" s="10">
        <v>4750</v>
      </c>
      <c r="K63" s="9">
        <v>255.28</v>
      </c>
      <c r="L63" s="9">
        <v>159.41999999999999</v>
      </c>
      <c r="M63" s="11">
        <v>1212580</v>
      </c>
      <c r="N63" s="11">
        <v>757245</v>
      </c>
      <c r="O63" s="11">
        <v>455335</v>
      </c>
      <c r="S63" s="25" t="s">
        <v>44</v>
      </c>
      <c r="T63" s="11">
        <f t="shared" si="15"/>
        <v>7787292.799999998</v>
      </c>
      <c r="U63" s="11">
        <f t="shared" si="16"/>
        <v>5233334.4000000004</v>
      </c>
      <c r="V63" s="31">
        <f t="shared" si="17"/>
        <v>67.203513909224029</v>
      </c>
    </row>
    <row r="64" spans="1:22" x14ac:dyDescent="0.25">
      <c r="A64" s="6" t="s">
        <v>28</v>
      </c>
      <c r="B64" s="6" t="s">
        <v>51</v>
      </c>
      <c r="C64" s="6" t="s">
        <v>26</v>
      </c>
      <c r="D64" s="6" t="s">
        <v>22</v>
      </c>
      <c r="E64" s="6" t="s">
        <v>35</v>
      </c>
      <c r="F64" s="7">
        <v>40854</v>
      </c>
      <c r="G64" s="8">
        <f t="shared" si="0"/>
        <v>2011</v>
      </c>
      <c r="H64" s="9">
        <v>177636754</v>
      </c>
      <c r="I64" s="7">
        <v>40862</v>
      </c>
      <c r="J64" s="10">
        <v>5518</v>
      </c>
      <c r="K64" s="9">
        <v>651.21</v>
      </c>
      <c r="L64" s="9">
        <v>524.96</v>
      </c>
      <c r="M64" s="11">
        <v>3593376.78</v>
      </c>
      <c r="N64" s="11">
        <v>2896729.28</v>
      </c>
      <c r="O64" s="11">
        <v>696647.5</v>
      </c>
      <c r="S64" s="25" t="s">
        <v>50</v>
      </c>
      <c r="T64" s="11">
        <f t="shared" si="15"/>
        <v>36601509.600000001</v>
      </c>
      <c r="U64" s="11">
        <f t="shared" si="16"/>
        <v>14556048.66</v>
      </c>
      <c r="V64" s="31">
        <f t="shared" si="17"/>
        <v>39.768984446477582</v>
      </c>
    </row>
    <row r="65" spans="1:22" x14ac:dyDescent="0.25">
      <c r="A65" s="6" t="s">
        <v>71</v>
      </c>
      <c r="B65" s="6" t="s">
        <v>90</v>
      </c>
      <c r="C65" s="6" t="s">
        <v>44</v>
      </c>
      <c r="D65" s="6" t="s">
        <v>17</v>
      </c>
      <c r="E65" s="6" t="s">
        <v>18</v>
      </c>
      <c r="F65" s="7">
        <v>40481</v>
      </c>
      <c r="G65" s="8">
        <f t="shared" si="0"/>
        <v>2010</v>
      </c>
      <c r="H65" s="9">
        <v>705784308</v>
      </c>
      <c r="I65" s="7">
        <v>40499</v>
      </c>
      <c r="J65" s="10">
        <v>6116</v>
      </c>
      <c r="K65" s="9">
        <v>109.28</v>
      </c>
      <c r="L65" s="9">
        <v>35.840000000000003</v>
      </c>
      <c r="M65" s="11">
        <v>668356.48</v>
      </c>
      <c r="N65" s="11">
        <v>219197.44</v>
      </c>
      <c r="O65" s="11">
        <v>449159.04</v>
      </c>
      <c r="S65" s="25" t="s">
        <v>52</v>
      </c>
      <c r="T65" s="11">
        <f t="shared" si="15"/>
        <v>2690794.6</v>
      </c>
      <c r="U65" s="11">
        <f t="shared" si="16"/>
        <v>888047.27999999991</v>
      </c>
      <c r="V65" s="31">
        <f t="shared" si="17"/>
        <v>33.003161222339301</v>
      </c>
    </row>
    <row r="66" spans="1:22" x14ac:dyDescent="0.25">
      <c r="A66" s="6" t="s">
        <v>19</v>
      </c>
      <c r="B66" s="6" t="s">
        <v>91</v>
      </c>
      <c r="C66" s="6" t="s">
        <v>50</v>
      </c>
      <c r="D66" s="6" t="s">
        <v>17</v>
      </c>
      <c r="E66" s="6" t="s">
        <v>18</v>
      </c>
      <c r="F66" s="7">
        <v>41560</v>
      </c>
      <c r="G66" s="8">
        <f t="shared" si="0"/>
        <v>2013</v>
      </c>
      <c r="H66" s="9">
        <v>505716836</v>
      </c>
      <c r="I66" s="7">
        <v>41594</v>
      </c>
      <c r="J66" s="10">
        <v>1705</v>
      </c>
      <c r="K66" s="9">
        <v>437.2</v>
      </c>
      <c r="L66" s="9">
        <v>263.33</v>
      </c>
      <c r="M66" s="11">
        <v>745426</v>
      </c>
      <c r="N66" s="11">
        <v>448977.65</v>
      </c>
      <c r="O66" s="11">
        <v>296448.34999999998</v>
      </c>
      <c r="S66" s="25" t="s">
        <v>55</v>
      </c>
      <c r="T66" s="11">
        <f t="shared" si="15"/>
        <v>4503675.75</v>
      </c>
      <c r="U66" s="11">
        <f t="shared" si="16"/>
        <v>610610</v>
      </c>
      <c r="V66" s="31">
        <f t="shared" si="17"/>
        <v>13.558036455000119</v>
      </c>
    </row>
    <row r="67" spans="1:22" x14ac:dyDescent="0.25">
      <c r="A67" s="6" t="s">
        <v>28</v>
      </c>
      <c r="B67" s="6" t="s">
        <v>31</v>
      </c>
      <c r="C67" s="6" t="s">
        <v>50</v>
      </c>
      <c r="D67" s="6" t="s">
        <v>17</v>
      </c>
      <c r="E67" s="6" t="s">
        <v>18</v>
      </c>
      <c r="F67" s="7">
        <v>41558</v>
      </c>
      <c r="G67" s="8">
        <f t="shared" si="0"/>
        <v>2013</v>
      </c>
      <c r="H67" s="9">
        <v>699358165</v>
      </c>
      <c r="I67" s="7">
        <v>41603</v>
      </c>
      <c r="J67" s="10">
        <v>4477</v>
      </c>
      <c r="K67" s="9">
        <v>437.2</v>
      </c>
      <c r="L67" s="9">
        <v>263.33</v>
      </c>
      <c r="M67" s="11">
        <v>1957344.4</v>
      </c>
      <c r="N67" s="11">
        <v>1178928.4099999999</v>
      </c>
      <c r="O67" s="11">
        <v>778415.99</v>
      </c>
      <c r="S67" s="25" t="s">
        <v>58</v>
      </c>
      <c r="T67" s="11">
        <f t="shared" si="15"/>
        <v>2080733.46</v>
      </c>
      <c r="U67" s="11">
        <f t="shared" si="16"/>
        <v>751944.18</v>
      </c>
      <c r="V67" s="31">
        <f t="shared" si="17"/>
        <v>36.138419189933153</v>
      </c>
    </row>
    <row r="68" spans="1:22" x14ac:dyDescent="0.25">
      <c r="A68" s="6" t="s">
        <v>28</v>
      </c>
      <c r="B68" s="6" t="s">
        <v>92</v>
      </c>
      <c r="C68" s="6" t="s">
        <v>39</v>
      </c>
      <c r="D68" s="6" t="s">
        <v>17</v>
      </c>
      <c r="E68" s="6" t="s">
        <v>27</v>
      </c>
      <c r="F68" s="7">
        <v>41098</v>
      </c>
      <c r="G68" s="8">
        <f t="shared" si="0"/>
        <v>2012</v>
      </c>
      <c r="H68" s="9">
        <v>228944623</v>
      </c>
      <c r="I68" s="7">
        <v>41099</v>
      </c>
      <c r="J68" s="10">
        <v>8656</v>
      </c>
      <c r="K68" s="9">
        <v>81.73</v>
      </c>
      <c r="L68" s="9">
        <v>56.67</v>
      </c>
      <c r="M68" s="11">
        <v>707454.88</v>
      </c>
      <c r="N68" s="11">
        <v>490535.52</v>
      </c>
      <c r="O68" s="11">
        <v>216919.36</v>
      </c>
      <c r="S68" s="12" t="s">
        <v>124</v>
      </c>
      <c r="T68" s="17">
        <f>SUM(T56:T67)</f>
        <v>137348768.31</v>
      </c>
      <c r="U68" s="17">
        <f>SUM(U56:U67)</f>
        <v>44168198.399999999</v>
      </c>
      <c r="V68" s="32">
        <f>(U68/T68)*100</f>
        <v>32.157695291676106</v>
      </c>
    </row>
    <row r="69" spans="1:22" x14ac:dyDescent="0.25">
      <c r="A69" s="6" t="s">
        <v>19</v>
      </c>
      <c r="B69" s="6" t="s">
        <v>93</v>
      </c>
      <c r="C69" s="6" t="s">
        <v>44</v>
      </c>
      <c r="D69" s="6" t="s">
        <v>17</v>
      </c>
      <c r="E69" s="6" t="s">
        <v>35</v>
      </c>
      <c r="F69" s="7">
        <v>42576</v>
      </c>
      <c r="G69" s="8">
        <f t="shared" ref="G69:G101" si="18">YEAR(F69)</f>
        <v>2016</v>
      </c>
      <c r="H69" s="9">
        <v>807025039</v>
      </c>
      <c r="I69" s="7">
        <v>42620</v>
      </c>
      <c r="J69" s="10">
        <v>5498</v>
      </c>
      <c r="K69" s="9">
        <v>109.28</v>
      </c>
      <c r="L69" s="9">
        <v>35.840000000000003</v>
      </c>
      <c r="M69" s="11">
        <v>600821.43999999994</v>
      </c>
      <c r="N69" s="11">
        <v>197048.32000000001</v>
      </c>
      <c r="O69" s="11">
        <v>403773.12</v>
      </c>
    </row>
    <row r="70" spans="1:22" x14ac:dyDescent="0.25">
      <c r="A70" s="6" t="s">
        <v>24</v>
      </c>
      <c r="B70" s="6" t="s">
        <v>94</v>
      </c>
      <c r="C70" s="6" t="s">
        <v>26</v>
      </c>
      <c r="D70" s="6" t="s">
        <v>17</v>
      </c>
      <c r="E70" s="6" t="s">
        <v>18</v>
      </c>
      <c r="F70" s="7">
        <v>40475</v>
      </c>
      <c r="G70" s="8">
        <f t="shared" si="18"/>
        <v>2010</v>
      </c>
      <c r="H70" s="9">
        <v>166460740</v>
      </c>
      <c r="I70" s="7">
        <v>40499</v>
      </c>
      <c r="J70" s="10">
        <v>8287</v>
      </c>
      <c r="K70" s="9">
        <v>651.21</v>
      </c>
      <c r="L70" s="9">
        <v>524.96</v>
      </c>
      <c r="M70" s="11">
        <v>5396577.2699999996</v>
      </c>
      <c r="N70" s="11">
        <v>4350343.5199999996</v>
      </c>
      <c r="O70" s="11">
        <v>1046233.75</v>
      </c>
      <c r="S70" s="40" t="s">
        <v>136</v>
      </c>
      <c r="T70" s="40"/>
    </row>
    <row r="71" spans="1:22" x14ac:dyDescent="0.25">
      <c r="A71" s="6" t="s">
        <v>28</v>
      </c>
      <c r="B71" s="6" t="s">
        <v>95</v>
      </c>
      <c r="C71" s="6" t="s">
        <v>44</v>
      </c>
      <c r="D71" s="6" t="s">
        <v>17</v>
      </c>
      <c r="E71" s="6" t="s">
        <v>27</v>
      </c>
      <c r="F71" s="7">
        <v>42119</v>
      </c>
      <c r="G71" s="8">
        <f t="shared" si="18"/>
        <v>2015</v>
      </c>
      <c r="H71" s="9">
        <v>610425555</v>
      </c>
      <c r="I71" s="7">
        <v>42152</v>
      </c>
      <c r="J71" s="10">
        <v>7342</v>
      </c>
      <c r="K71" s="9">
        <v>109.28</v>
      </c>
      <c r="L71" s="9">
        <v>35.840000000000003</v>
      </c>
      <c r="M71" s="11">
        <v>802333.76</v>
      </c>
      <c r="N71" s="11">
        <v>263137.28000000003</v>
      </c>
      <c r="O71" s="11">
        <v>539196.48</v>
      </c>
      <c r="S71" s="12" t="s">
        <v>115</v>
      </c>
      <c r="T71" s="12" t="s">
        <v>128</v>
      </c>
    </row>
    <row r="72" spans="1:22" x14ac:dyDescent="0.25">
      <c r="A72" s="6" t="s">
        <v>41</v>
      </c>
      <c r="B72" s="6" t="s">
        <v>53</v>
      </c>
      <c r="C72" s="6" t="s">
        <v>26</v>
      </c>
      <c r="D72" s="6" t="s">
        <v>22</v>
      </c>
      <c r="E72" s="6" t="s">
        <v>35</v>
      </c>
      <c r="F72" s="7">
        <v>41387</v>
      </c>
      <c r="G72" s="8">
        <f t="shared" si="18"/>
        <v>2013</v>
      </c>
      <c r="H72" s="9">
        <v>462405812</v>
      </c>
      <c r="I72" s="7">
        <v>41414</v>
      </c>
      <c r="J72" s="10">
        <v>5010</v>
      </c>
      <c r="K72" s="9">
        <v>651.21</v>
      </c>
      <c r="L72" s="9">
        <v>524.96</v>
      </c>
      <c r="M72" s="11">
        <v>3262562.1</v>
      </c>
      <c r="N72" s="11">
        <v>2630049.6</v>
      </c>
      <c r="O72" s="11">
        <v>632512.5</v>
      </c>
      <c r="S72" s="8">
        <v>2010</v>
      </c>
      <c r="T72" s="11">
        <f>AVERAGEIF($G$2:$G$101,S72,$O$2:$O$101)</f>
        <v>662956.74300000002</v>
      </c>
    </row>
    <row r="73" spans="1:22" x14ac:dyDescent="0.25">
      <c r="A73" s="6" t="s">
        <v>71</v>
      </c>
      <c r="B73" s="6" t="s">
        <v>90</v>
      </c>
      <c r="C73" s="6" t="s">
        <v>30</v>
      </c>
      <c r="D73" s="6" t="s">
        <v>22</v>
      </c>
      <c r="E73" s="6" t="s">
        <v>27</v>
      </c>
      <c r="F73" s="7">
        <v>42230</v>
      </c>
      <c r="G73" s="8">
        <f t="shared" si="18"/>
        <v>2015</v>
      </c>
      <c r="H73" s="9">
        <v>816200339</v>
      </c>
      <c r="I73" s="7">
        <v>42277</v>
      </c>
      <c r="J73" s="10">
        <v>673</v>
      </c>
      <c r="K73" s="9">
        <v>9.33</v>
      </c>
      <c r="L73" s="9">
        <v>6.92</v>
      </c>
      <c r="M73" s="11">
        <v>6279.09</v>
      </c>
      <c r="N73" s="11">
        <v>4657.16</v>
      </c>
      <c r="O73" s="11">
        <v>1621.93</v>
      </c>
      <c r="S73" s="8">
        <v>2011</v>
      </c>
      <c r="T73" s="11">
        <f t="shared" ref="T73:T79" si="19">AVERAGEIF($G$2:$G$101,S73,$O$2:$O$101)</f>
        <v>228417.35250000004</v>
      </c>
    </row>
    <row r="74" spans="1:22" x14ac:dyDescent="0.25">
      <c r="A74" s="6" t="s">
        <v>28</v>
      </c>
      <c r="B74" s="6" t="s">
        <v>96</v>
      </c>
      <c r="C74" s="6" t="s">
        <v>52</v>
      </c>
      <c r="D74" s="6" t="s">
        <v>22</v>
      </c>
      <c r="E74" s="6" t="s">
        <v>23</v>
      </c>
      <c r="F74" s="7">
        <v>40689</v>
      </c>
      <c r="G74" s="8">
        <f t="shared" si="18"/>
        <v>2011</v>
      </c>
      <c r="H74" s="9">
        <v>585920464</v>
      </c>
      <c r="I74" s="7">
        <v>40739</v>
      </c>
      <c r="J74" s="10">
        <v>5741</v>
      </c>
      <c r="K74" s="9">
        <v>47.45</v>
      </c>
      <c r="L74" s="9">
        <v>31.79</v>
      </c>
      <c r="M74" s="11">
        <v>272410.45</v>
      </c>
      <c r="N74" s="11">
        <v>182506.39</v>
      </c>
      <c r="O74" s="11">
        <v>89904.06</v>
      </c>
      <c r="S74" s="8">
        <v>2012</v>
      </c>
      <c r="T74" s="11">
        <f t="shared" si="19"/>
        <v>418773.18727272731</v>
      </c>
    </row>
    <row r="75" spans="1:22" x14ac:dyDescent="0.25">
      <c r="A75" s="6" t="s">
        <v>28</v>
      </c>
      <c r="B75" s="6" t="s">
        <v>69</v>
      </c>
      <c r="C75" s="6" t="s">
        <v>21</v>
      </c>
      <c r="D75" s="6" t="s">
        <v>22</v>
      </c>
      <c r="E75" s="6" t="s">
        <v>18</v>
      </c>
      <c r="F75" s="7">
        <v>42875</v>
      </c>
      <c r="G75" s="8">
        <f t="shared" si="18"/>
        <v>2017</v>
      </c>
      <c r="H75" s="9">
        <v>555990016</v>
      </c>
      <c r="I75" s="7">
        <v>42903</v>
      </c>
      <c r="J75" s="10">
        <v>8656</v>
      </c>
      <c r="K75" s="9">
        <v>205.7</v>
      </c>
      <c r="L75" s="9">
        <v>117.11</v>
      </c>
      <c r="M75" s="11">
        <v>1780539.2</v>
      </c>
      <c r="N75" s="11">
        <v>1013704.16</v>
      </c>
      <c r="O75" s="11">
        <v>766835.04</v>
      </c>
      <c r="S75" s="8">
        <v>2013</v>
      </c>
      <c r="T75" s="11">
        <f t="shared" si="19"/>
        <v>559618.33666666655</v>
      </c>
    </row>
    <row r="76" spans="1:22" x14ac:dyDescent="0.25">
      <c r="A76" s="6" t="s">
        <v>71</v>
      </c>
      <c r="B76" s="6" t="s">
        <v>97</v>
      </c>
      <c r="C76" s="6" t="s">
        <v>50</v>
      </c>
      <c r="D76" s="6" t="s">
        <v>17</v>
      </c>
      <c r="E76" s="6" t="s">
        <v>27</v>
      </c>
      <c r="F76" s="7">
        <v>41460</v>
      </c>
      <c r="G76" s="8">
        <f t="shared" si="18"/>
        <v>2013</v>
      </c>
      <c r="H76" s="9">
        <v>231145322</v>
      </c>
      <c r="I76" s="7">
        <v>41502</v>
      </c>
      <c r="J76" s="10">
        <v>9892</v>
      </c>
      <c r="K76" s="9">
        <v>437.2</v>
      </c>
      <c r="L76" s="9">
        <v>263.33</v>
      </c>
      <c r="M76" s="11">
        <v>4324782.4000000004</v>
      </c>
      <c r="N76" s="11">
        <v>2604860.36</v>
      </c>
      <c r="O76" s="11">
        <v>1719922.04</v>
      </c>
      <c r="S76" s="8">
        <v>2014</v>
      </c>
      <c r="T76" s="11">
        <f t="shared" si="19"/>
        <v>391964.11199999996</v>
      </c>
    </row>
    <row r="77" spans="1:22" x14ac:dyDescent="0.25">
      <c r="A77" s="6" t="s">
        <v>98</v>
      </c>
      <c r="B77" s="6" t="s">
        <v>99</v>
      </c>
      <c r="C77" s="6" t="s">
        <v>34</v>
      </c>
      <c r="D77" s="6" t="s">
        <v>17</v>
      </c>
      <c r="E77" s="6" t="s">
        <v>23</v>
      </c>
      <c r="F77" s="7">
        <v>41949</v>
      </c>
      <c r="G77" s="8">
        <f t="shared" si="18"/>
        <v>2014</v>
      </c>
      <c r="H77" s="9">
        <v>986435210</v>
      </c>
      <c r="I77" s="7">
        <v>41985</v>
      </c>
      <c r="J77" s="10">
        <v>6954</v>
      </c>
      <c r="K77" s="9">
        <v>668.27</v>
      </c>
      <c r="L77" s="9">
        <v>502.54</v>
      </c>
      <c r="M77" s="11">
        <v>4647149.58</v>
      </c>
      <c r="N77" s="11">
        <v>3494663.16</v>
      </c>
      <c r="O77" s="11">
        <v>1152486.42</v>
      </c>
      <c r="S77" s="8">
        <v>2015</v>
      </c>
      <c r="T77" s="11">
        <f t="shared" si="19"/>
        <v>363321.76727272733</v>
      </c>
    </row>
    <row r="78" spans="1:22" x14ac:dyDescent="0.25">
      <c r="A78" s="6" t="s">
        <v>14</v>
      </c>
      <c r="B78" s="6" t="s">
        <v>100</v>
      </c>
      <c r="C78" s="6" t="s">
        <v>52</v>
      </c>
      <c r="D78" s="6" t="s">
        <v>22</v>
      </c>
      <c r="E78" s="6" t="s">
        <v>23</v>
      </c>
      <c r="F78" s="7">
        <v>41940</v>
      </c>
      <c r="G78" s="8">
        <f t="shared" si="18"/>
        <v>2014</v>
      </c>
      <c r="H78" s="9">
        <v>217221009</v>
      </c>
      <c r="I78" s="7">
        <v>41958</v>
      </c>
      <c r="J78" s="10">
        <v>9379</v>
      </c>
      <c r="K78" s="9">
        <v>47.45</v>
      </c>
      <c r="L78" s="9">
        <v>31.79</v>
      </c>
      <c r="M78" s="11">
        <v>445033.55</v>
      </c>
      <c r="N78" s="11">
        <v>298158.40999999997</v>
      </c>
      <c r="O78" s="11">
        <v>146875.14000000001</v>
      </c>
      <c r="S78" s="8">
        <v>2016</v>
      </c>
      <c r="T78" s="11">
        <f t="shared" si="19"/>
        <v>490383.80099999998</v>
      </c>
    </row>
    <row r="79" spans="1:22" x14ac:dyDescent="0.25">
      <c r="A79" s="6" t="s">
        <v>41</v>
      </c>
      <c r="B79" s="6" t="s">
        <v>101</v>
      </c>
      <c r="C79" s="6" t="s">
        <v>37</v>
      </c>
      <c r="D79" s="6" t="s">
        <v>17</v>
      </c>
      <c r="E79" s="6" t="s">
        <v>23</v>
      </c>
      <c r="F79" s="7">
        <v>40801</v>
      </c>
      <c r="G79" s="8">
        <f t="shared" si="18"/>
        <v>2011</v>
      </c>
      <c r="H79" s="9">
        <v>789176547</v>
      </c>
      <c r="I79" s="7">
        <v>40839</v>
      </c>
      <c r="J79" s="10">
        <v>3732</v>
      </c>
      <c r="K79" s="9">
        <v>154.06</v>
      </c>
      <c r="L79" s="9">
        <v>90.93</v>
      </c>
      <c r="M79" s="11">
        <v>574951.92000000004</v>
      </c>
      <c r="N79" s="11">
        <v>339350.76</v>
      </c>
      <c r="O79" s="11">
        <v>235601.16</v>
      </c>
      <c r="S79" s="8">
        <v>2017</v>
      </c>
      <c r="T79" s="11">
        <f t="shared" si="19"/>
        <v>511169.18125000002</v>
      </c>
    </row>
    <row r="80" spans="1:22" x14ac:dyDescent="0.25">
      <c r="A80" s="6" t="s">
        <v>24</v>
      </c>
      <c r="B80" s="6" t="s">
        <v>102</v>
      </c>
      <c r="C80" s="6" t="s">
        <v>16</v>
      </c>
      <c r="D80" s="6" t="s">
        <v>17</v>
      </c>
      <c r="E80" s="6" t="s">
        <v>18</v>
      </c>
      <c r="F80" s="7">
        <v>41058</v>
      </c>
      <c r="G80" s="8">
        <f t="shared" si="18"/>
        <v>2012</v>
      </c>
      <c r="H80" s="9">
        <v>688288152</v>
      </c>
      <c r="I80" s="7">
        <v>41062</v>
      </c>
      <c r="J80" s="10">
        <v>8614</v>
      </c>
      <c r="K80" s="9">
        <v>255.28</v>
      </c>
      <c r="L80" s="9">
        <v>159.41999999999999</v>
      </c>
      <c r="M80" s="11">
        <v>2198981.92</v>
      </c>
      <c r="N80" s="11">
        <v>1373243.88</v>
      </c>
      <c r="O80" s="11">
        <v>825738.04</v>
      </c>
    </row>
    <row r="81" spans="1:23" x14ac:dyDescent="0.25">
      <c r="A81" s="6" t="s">
        <v>14</v>
      </c>
      <c r="B81" s="6" t="s">
        <v>103</v>
      </c>
      <c r="C81" s="6" t="s">
        <v>50</v>
      </c>
      <c r="D81" s="6" t="s">
        <v>22</v>
      </c>
      <c r="E81" s="6" t="s">
        <v>18</v>
      </c>
      <c r="F81" s="7">
        <v>41475</v>
      </c>
      <c r="G81" s="8">
        <f t="shared" si="18"/>
        <v>2013</v>
      </c>
      <c r="H81" s="9">
        <v>670854651</v>
      </c>
      <c r="I81" s="7">
        <v>41493</v>
      </c>
      <c r="J81" s="10">
        <v>9654</v>
      </c>
      <c r="K81" s="9">
        <v>437.2</v>
      </c>
      <c r="L81" s="9">
        <v>263.33</v>
      </c>
      <c r="M81" s="11">
        <v>4220728.8</v>
      </c>
      <c r="N81" s="11">
        <v>2542187.8199999998</v>
      </c>
      <c r="O81" s="11">
        <v>1678540.98</v>
      </c>
      <c r="S81" s="39" t="s">
        <v>137</v>
      </c>
      <c r="T81" s="39"/>
      <c r="U81" s="39" t="s">
        <v>138</v>
      </c>
      <c r="V81" s="39"/>
      <c r="W81" s="39"/>
    </row>
    <row r="82" spans="1:23" x14ac:dyDescent="0.25">
      <c r="A82" s="6" t="s">
        <v>24</v>
      </c>
      <c r="B82" s="6" t="s">
        <v>104</v>
      </c>
      <c r="C82" s="6" t="s">
        <v>34</v>
      </c>
      <c r="D82" s="6" t="s">
        <v>17</v>
      </c>
      <c r="E82" s="6" t="s">
        <v>27</v>
      </c>
      <c r="F82" s="7">
        <v>41203</v>
      </c>
      <c r="G82" s="8">
        <f t="shared" si="18"/>
        <v>2012</v>
      </c>
      <c r="H82" s="9">
        <v>213487374</v>
      </c>
      <c r="I82" s="7">
        <v>41243</v>
      </c>
      <c r="J82" s="10">
        <v>4513</v>
      </c>
      <c r="K82" s="9">
        <v>668.27</v>
      </c>
      <c r="L82" s="9">
        <v>502.54</v>
      </c>
      <c r="M82" s="11">
        <v>3015902.51</v>
      </c>
      <c r="N82" s="11">
        <v>2267963.02</v>
      </c>
      <c r="O82" s="11">
        <v>747939.49</v>
      </c>
      <c r="S82" s="12" t="s">
        <v>1</v>
      </c>
      <c r="T82" s="19" t="s">
        <v>123</v>
      </c>
      <c r="U82" s="12" t="s">
        <v>126</v>
      </c>
      <c r="V82" s="12" t="s">
        <v>1</v>
      </c>
      <c r="W82" s="19" t="s">
        <v>123</v>
      </c>
    </row>
    <row r="83" spans="1:23" x14ac:dyDescent="0.25">
      <c r="A83" s="6" t="s">
        <v>71</v>
      </c>
      <c r="B83" s="6" t="s">
        <v>105</v>
      </c>
      <c r="C83" s="6" t="s">
        <v>44</v>
      </c>
      <c r="D83" s="6" t="s">
        <v>22</v>
      </c>
      <c r="E83" s="6" t="s">
        <v>27</v>
      </c>
      <c r="F83" s="7">
        <v>41170</v>
      </c>
      <c r="G83" s="8">
        <f t="shared" si="18"/>
        <v>2012</v>
      </c>
      <c r="H83" s="9">
        <v>663110148</v>
      </c>
      <c r="I83" s="7">
        <v>41190</v>
      </c>
      <c r="J83" s="10">
        <v>7884</v>
      </c>
      <c r="K83" s="9">
        <v>109.28</v>
      </c>
      <c r="L83" s="9">
        <v>35.840000000000003</v>
      </c>
      <c r="M83" s="11">
        <v>861563.52</v>
      </c>
      <c r="N83" s="11">
        <v>282562.56</v>
      </c>
      <c r="O83" s="11">
        <v>579000.96</v>
      </c>
      <c r="S83" s="6" t="s">
        <v>81</v>
      </c>
      <c r="T83" s="11">
        <f>SUMIF($B$2:$B$101,S83,$M$2:$M$101)</f>
        <v>247956.32</v>
      </c>
      <c r="U83" s="26">
        <v>1</v>
      </c>
      <c r="V83" s="6" t="str">
        <f>INDEX($S$83:$S$158, MATCH(LARGE($T$83:$T$158, $U83), $T$83:$T$158, 0))</f>
        <v>Honduras</v>
      </c>
      <c r="W83" s="11">
        <f>LARGE($T$83:$T$158,U83)</f>
        <v>6336545.4800000004</v>
      </c>
    </row>
    <row r="84" spans="1:23" x14ac:dyDescent="0.25">
      <c r="A84" s="6" t="s">
        <v>71</v>
      </c>
      <c r="B84" s="6" t="s">
        <v>106</v>
      </c>
      <c r="C84" s="6" t="s">
        <v>50</v>
      </c>
      <c r="D84" s="6" t="s">
        <v>22</v>
      </c>
      <c r="E84" s="6" t="s">
        <v>18</v>
      </c>
      <c r="F84" s="7">
        <v>42689</v>
      </c>
      <c r="G84" s="8">
        <f t="shared" si="18"/>
        <v>2016</v>
      </c>
      <c r="H84" s="9">
        <v>286959302</v>
      </c>
      <c r="I84" s="7">
        <v>42712</v>
      </c>
      <c r="J84" s="10">
        <v>6489</v>
      </c>
      <c r="K84" s="9">
        <v>437.2</v>
      </c>
      <c r="L84" s="9">
        <v>263.33</v>
      </c>
      <c r="M84" s="11">
        <v>2836990.8</v>
      </c>
      <c r="N84" s="11">
        <v>1708748.37</v>
      </c>
      <c r="O84" s="11">
        <v>1128242.43</v>
      </c>
      <c r="S84" s="6" t="s">
        <v>33</v>
      </c>
      <c r="T84" s="11">
        <f t="shared" ref="T84:T146" si="20">SUMIF($B$2:$B$101,S84,$M$2:$M$101)</f>
        <v>2798046.49</v>
      </c>
      <c r="U84" s="26">
        <v>2</v>
      </c>
      <c r="V84" s="6" t="str">
        <f t="shared" ref="V84:V86" si="21">INDEX($S$83:$S$158, MATCH(LARGE($T$83:$T$158, $U84), $T$83:$T$158, 0))</f>
        <v>Myanmar</v>
      </c>
      <c r="W84" s="11">
        <f t="shared" ref="W84:W86" si="22">LARGE($T$83:$T$158,U84)</f>
        <v>6161257.9000000004</v>
      </c>
    </row>
    <row r="85" spans="1:23" x14ac:dyDescent="0.25">
      <c r="A85" s="6" t="s">
        <v>28</v>
      </c>
      <c r="B85" s="6" t="s">
        <v>107</v>
      </c>
      <c r="C85" s="6" t="s">
        <v>58</v>
      </c>
      <c r="D85" s="6" t="s">
        <v>22</v>
      </c>
      <c r="E85" s="6" t="s">
        <v>27</v>
      </c>
      <c r="F85" s="7">
        <v>40547</v>
      </c>
      <c r="G85" s="8">
        <f t="shared" si="18"/>
        <v>2011</v>
      </c>
      <c r="H85" s="9">
        <v>122583663</v>
      </c>
      <c r="I85" s="7">
        <v>40548</v>
      </c>
      <c r="J85" s="10">
        <v>4085</v>
      </c>
      <c r="K85" s="9">
        <v>152.58000000000001</v>
      </c>
      <c r="L85" s="9">
        <v>97.44</v>
      </c>
      <c r="M85" s="11">
        <v>623289.30000000005</v>
      </c>
      <c r="N85" s="11">
        <v>398042.4</v>
      </c>
      <c r="O85" s="11">
        <v>225246.9</v>
      </c>
      <c r="S85" s="6" t="s">
        <v>67</v>
      </c>
      <c r="T85" s="11">
        <f t="shared" si="20"/>
        <v>2489933.4899999998</v>
      </c>
      <c r="U85" s="26">
        <v>3</v>
      </c>
      <c r="V85" s="6" t="str">
        <f t="shared" si="21"/>
        <v>Djibouti</v>
      </c>
      <c r="W85" s="11">
        <f t="shared" si="22"/>
        <v>6052890.8600000003</v>
      </c>
    </row>
    <row r="86" spans="1:23" x14ac:dyDescent="0.25">
      <c r="A86" s="6" t="s">
        <v>28</v>
      </c>
      <c r="B86" s="6" t="s">
        <v>108</v>
      </c>
      <c r="C86" s="6" t="s">
        <v>37</v>
      </c>
      <c r="D86" s="6" t="s">
        <v>22</v>
      </c>
      <c r="E86" s="6" t="s">
        <v>27</v>
      </c>
      <c r="F86" s="7">
        <v>40986</v>
      </c>
      <c r="G86" s="8">
        <f t="shared" si="18"/>
        <v>2012</v>
      </c>
      <c r="H86" s="9">
        <v>827844560</v>
      </c>
      <c r="I86" s="7">
        <v>41006</v>
      </c>
      <c r="J86" s="10">
        <v>6457</v>
      </c>
      <c r="K86" s="9">
        <v>154.06</v>
      </c>
      <c r="L86" s="9">
        <v>90.93</v>
      </c>
      <c r="M86" s="11">
        <v>994765.42</v>
      </c>
      <c r="N86" s="11">
        <v>587135.01</v>
      </c>
      <c r="O86" s="11">
        <v>407630.41</v>
      </c>
      <c r="S86" s="6" t="s">
        <v>87</v>
      </c>
      <c r="T86" s="11">
        <f t="shared" si="20"/>
        <v>1244708.3999999999</v>
      </c>
      <c r="U86" s="26">
        <v>4</v>
      </c>
      <c r="V86" s="6" t="str">
        <f t="shared" si="21"/>
        <v>Turkmenistan</v>
      </c>
      <c r="W86" s="11">
        <f t="shared" si="22"/>
        <v>5822036.2000000002</v>
      </c>
    </row>
    <row r="87" spans="1:23" x14ac:dyDescent="0.25">
      <c r="A87" s="6" t="s">
        <v>98</v>
      </c>
      <c r="B87" s="6" t="s">
        <v>99</v>
      </c>
      <c r="C87" s="6" t="s">
        <v>39</v>
      </c>
      <c r="D87" s="6" t="s">
        <v>17</v>
      </c>
      <c r="E87" s="6" t="s">
        <v>27</v>
      </c>
      <c r="F87" s="7">
        <v>40956</v>
      </c>
      <c r="G87" s="8">
        <f t="shared" si="18"/>
        <v>2012</v>
      </c>
      <c r="H87" s="9">
        <v>430915820</v>
      </c>
      <c r="I87" s="7">
        <v>40988</v>
      </c>
      <c r="J87" s="10">
        <v>6422</v>
      </c>
      <c r="K87" s="9">
        <v>81.73</v>
      </c>
      <c r="L87" s="9">
        <v>56.67</v>
      </c>
      <c r="M87" s="11">
        <v>524870.06000000006</v>
      </c>
      <c r="N87" s="11">
        <v>363934.74</v>
      </c>
      <c r="O87" s="11">
        <v>160935.32</v>
      </c>
      <c r="S87" s="6" t="s">
        <v>75</v>
      </c>
      <c r="T87" s="11">
        <f t="shared" si="20"/>
        <v>4478800.21</v>
      </c>
      <c r="U87" s="39" t="s">
        <v>139</v>
      </c>
      <c r="V87" s="39"/>
      <c r="W87" s="39"/>
    </row>
    <row r="88" spans="1:23" x14ac:dyDescent="0.25">
      <c r="A88" s="6" t="s">
        <v>28</v>
      </c>
      <c r="B88" s="6" t="s">
        <v>29</v>
      </c>
      <c r="C88" s="6" t="s">
        <v>52</v>
      </c>
      <c r="D88" s="6" t="s">
        <v>17</v>
      </c>
      <c r="E88" s="6" t="s">
        <v>23</v>
      </c>
      <c r="F88" s="7">
        <v>40559</v>
      </c>
      <c r="G88" s="8">
        <f t="shared" si="18"/>
        <v>2011</v>
      </c>
      <c r="H88" s="9">
        <v>180283772</v>
      </c>
      <c r="I88" s="7">
        <v>40564</v>
      </c>
      <c r="J88" s="10">
        <v>8829</v>
      </c>
      <c r="K88" s="9">
        <v>47.45</v>
      </c>
      <c r="L88" s="9">
        <v>31.79</v>
      </c>
      <c r="M88" s="11">
        <v>418936.05</v>
      </c>
      <c r="N88" s="11">
        <v>280673.90999999997</v>
      </c>
      <c r="O88" s="11">
        <v>138262.14000000001</v>
      </c>
      <c r="S88" s="6" t="s">
        <v>45</v>
      </c>
      <c r="T88" s="11">
        <f t="shared" si="20"/>
        <v>902980.64</v>
      </c>
      <c r="U88" s="28" t="s">
        <v>126</v>
      </c>
      <c r="V88" s="12" t="s">
        <v>1</v>
      </c>
      <c r="W88" s="27" t="s">
        <v>123</v>
      </c>
    </row>
    <row r="89" spans="1:23" x14ac:dyDescent="0.25">
      <c r="A89" s="6" t="s">
        <v>28</v>
      </c>
      <c r="B89" s="6" t="s">
        <v>64</v>
      </c>
      <c r="C89" s="6" t="s">
        <v>16</v>
      </c>
      <c r="D89" s="6" t="s">
        <v>17</v>
      </c>
      <c r="E89" s="6" t="s">
        <v>35</v>
      </c>
      <c r="F89" s="7">
        <v>41673</v>
      </c>
      <c r="G89" s="8">
        <f t="shared" si="18"/>
        <v>2014</v>
      </c>
      <c r="H89" s="9">
        <v>494747245</v>
      </c>
      <c r="I89" s="7">
        <v>41718</v>
      </c>
      <c r="J89" s="10">
        <v>5559</v>
      </c>
      <c r="K89" s="9">
        <v>255.28</v>
      </c>
      <c r="L89" s="9">
        <v>159.41999999999999</v>
      </c>
      <c r="M89" s="11">
        <v>1419101.52</v>
      </c>
      <c r="N89" s="11">
        <v>886215.78</v>
      </c>
      <c r="O89" s="11">
        <v>532885.74</v>
      </c>
      <c r="S89" s="6" t="s">
        <v>93</v>
      </c>
      <c r="T89" s="11">
        <f t="shared" si="20"/>
        <v>600821.43999999994</v>
      </c>
      <c r="U89" s="26">
        <v>1</v>
      </c>
      <c r="V89" s="6" t="str">
        <f>INDEX($S$83:$S$158, MATCH(SMALL($T$83:$T$158, $U89), $T$83:$T$158, 0))</f>
        <v>Kuwait</v>
      </c>
      <c r="W89" s="11">
        <f>SMALL($T$83:$T$158,U89)</f>
        <v>4870.26</v>
      </c>
    </row>
    <row r="90" spans="1:23" x14ac:dyDescent="0.25">
      <c r="A90" s="6" t="s">
        <v>71</v>
      </c>
      <c r="B90" s="6" t="s">
        <v>109</v>
      </c>
      <c r="C90" s="6" t="s">
        <v>30</v>
      </c>
      <c r="D90" s="6" t="s">
        <v>22</v>
      </c>
      <c r="E90" s="6" t="s">
        <v>35</v>
      </c>
      <c r="F90" s="7">
        <v>41029</v>
      </c>
      <c r="G90" s="8">
        <f t="shared" si="18"/>
        <v>2012</v>
      </c>
      <c r="H90" s="9">
        <v>513417565</v>
      </c>
      <c r="I90" s="7">
        <v>41047</v>
      </c>
      <c r="J90" s="10">
        <v>522</v>
      </c>
      <c r="K90" s="9">
        <v>9.33</v>
      </c>
      <c r="L90" s="9">
        <v>6.92</v>
      </c>
      <c r="M90" s="11">
        <v>4870.26</v>
      </c>
      <c r="N90" s="11">
        <v>3612.24</v>
      </c>
      <c r="O90" s="11">
        <v>1258.02</v>
      </c>
      <c r="S90" s="6" t="s">
        <v>73</v>
      </c>
      <c r="T90" s="11">
        <f t="shared" si="20"/>
        <v>4368316.68</v>
      </c>
      <c r="U90" s="26">
        <v>2</v>
      </c>
      <c r="V90" s="6" t="str">
        <f t="shared" ref="V90:V92" si="23">INDEX($S$83:$S$158, MATCH(SMALL($T$83:$T$158, $U90), $T$83:$T$158, 0))</f>
        <v>Kyrgyzstan</v>
      </c>
      <c r="W90" s="11">
        <f t="shared" ref="W89:W92" si="24">SMALL($T$83:$T$158,U90)</f>
        <v>19103.439999999999</v>
      </c>
    </row>
    <row r="91" spans="1:23" x14ac:dyDescent="0.25">
      <c r="A91" s="6" t="s">
        <v>24</v>
      </c>
      <c r="B91" s="6" t="s">
        <v>110</v>
      </c>
      <c r="C91" s="6" t="s">
        <v>52</v>
      </c>
      <c r="D91" s="6" t="s">
        <v>17</v>
      </c>
      <c r="E91" s="6" t="s">
        <v>23</v>
      </c>
      <c r="F91" s="7">
        <v>42666</v>
      </c>
      <c r="G91" s="8">
        <f t="shared" si="18"/>
        <v>2016</v>
      </c>
      <c r="H91" s="9">
        <v>345718562</v>
      </c>
      <c r="I91" s="7">
        <v>42699</v>
      </c>
      <c r="J91" s="10">
        <v>4660</v>
      </c>
      <c r="K91" s="9">
        <v>47.45</v>
      </c>
      <c r="L91" s="9">
        <v>31.79</v>
      </c>
      <c r="M91" s="11">
        <v>221117</v>
      </c>
      <c r="N91" s="11">
        <v>148141.4</v>
      </c>
      <c r="O91" s="11">
        <v>72975.600000000006</v>
      </c>
      <c r="S91" s="6" t="s">
        <v>48</v>
      </c>
      <c r="T91" s="11">
        <f t="shared" si="20"/>
        <v>2779199.71</v>
      </c>
      <c r="U91" s="26">
        <v>3</v>
      </c>
      <c r="V91" s="6" t="str">
        <f t="shared" si="23"/>
        <v>New Zealand</v>
      </c>
      <c r="W91" s="11">
        <f t="shared" si="24"/>
        <v>20404.71</v>
      </c>
    </row>
    <row r="92" spans="1:23" x14ac:dyDescent="0.25">
      <c r="A92" s="6" t="s">
        <v>28</v>
      </c>
      <c r="B92" s="6" t="s">
        <v>84</v>
      </c>
      <c r="C92" s="6" t="s">
        <v>26</v>
      </c>
      <c r="D92" s="6" t="s">
        <v>17</v>
      </c>
      <c r="E92" s="6" t="s">
        <v>18</v>
      </c>
      <c r="F92" s="7">
        <v>42710</v>
      </c>
      <c r="G92" s="8">
        <f t="shared" si="18"/>
        <v>2016</v>
      </c>
      <c r="H92" s="9">
        <v>621386563</v>
      </c>
      <c r="I92" s="7">
        <v>42718</v>
      </c>
      <c r="J92" s="10">
        <v>948</v>
      </c>
      <c r="K92" s="9">
        <v>651.21</v>
      </c>
      <c r="L92" s="9">
        <v>524.96</v>
      </c>
      <c r="M92" s="11">
        <v>617347.07999999996</v>
      </c>
      <c r="N92" s="11">
        <v>497662.08</v>
      </c>
      <c r="O92" s="11">
        <v>119685</v>
      </c>
      <c r="S92" s="6" t="s">
        <v>36</v>
      </c>
      <c r="T92" s="11">
        <f t="shared" si="20"/>
        <v>1245112.92</v>
      </c>
      <c r="U92" s="26">
        <v>4</v>
      </c>
      <c r="V92" s="6" t="str">
        <f t="shared" si="23"/>
        <v>Slovakia</v>
      </c>
      <c r="W92" s="11">
        <f t="shared" si="24"/>
        <v>26344.26</v>
      </c>
    </row>
    <row r="93" spans="1:23" x14ac:dyDescent="0.25">
      <c r="A93" s="6" t="s">
        <v>14</v>
      </c>
      <c r="B93" s="6" t="s">
        <v>67</v>
      </c>
      <c r="C93" s="6" t="s">
        <v>52</v>
      </c>
      <c r="D93" s="6" t="s">
        <v>17</v>
      </c>
      <c r="E93" s="6" t="s">
        <v>18</v>
      </c>
      <c r="F93" s="7">
        <v>41827</v>
      </c>
      <c r="G93" s="8">
        <f t="shared" si="18"/>
        <v>2014</v>
      </c>
      <c r="H93" s="9">
        <v>240470397</v>
      </c>
      <c r="I93" s="7">
        <v>41831</v>
      </c>
      <c r="J93" s="10">
        <v>9389</v>
      </c>
      <c r="K93" s="9">
        <v>47.45</v>
      </c>
      <c r="L93" s="9">
        <v>31.79</v>
      </c>
      <c r="M93" s="11">
        <v>445508.05</v>
      </c>
      <c r="N93" s="11">
        <v>298476.31</v>
      </c>
      <c r="O93" s="11">
        <v>147031.74</v>
      </c>
      <c r="S93" s="6" t="s">
        <v>51</v>
      </c>
      <c r="T93" s="11">
        <f t="shared" si="20"/>
        <v>3851030.28</v>
      </c>
    </row>
    <row r="94" spans="1:23" x14ac:dyDescent="0.25">
      <c r="A94" s="6" t="s">
        <v>71</v>
      </c>
      <c r="B94" s="6" t="s">
        <v>75</v>
      </c>
      <c r="C94" s="6" t="s">
        <v>26</v>
      </c>
      <c r="D94" s="6" t="s">
        <v>22</v>
      </c>
      <c r="E94" s="6" t="s">
        <v>35</v>
      </c>
      <c r="F94" s="7">
        <v>41073</v>
      </c>
      <c r="G94" s="8">
        <f t="shared" si="18"/>
        <v>2012</v>
      </c>
      <c r="H94" s="9">
        <v>423331391</v>
      </c>
      <c r="I94" s="7">
        <v>41114</v>
      </c>
      <c r="J94" s="10">
        <v>2021</v>
      </c>
      <c r="K94" s="9">
        <v>651.21</v>
      </c>
      <c r="L94" s="9">
        <v>524.96</v>
      </c>
      <c r="M94" s="11">
        <v>1316095.4099999999</v>
      </c>
      <c r="N94" s="11">
        <v>1060944.1599999999</v>
      </c>
      <c r="O94" s="11">
        <v>255151.25</v>
      </c>
      <c r="S94" s="6" t="s">
        <v>43</v>
      </c>
      <c r="T94" s="11">
        <f t="shared" si="20"/>
        <v>455479.03999999998</v>
      </c>
    </row>
    <row r="95" spans="1:23" x14ac:dyDescent="0.25">
      <c r="A95" s="6" t="s">
        <v>24</v>
      </c>
      <c r="B95" s="6" t="s">
        <v>111</v>
      </c>
      <c r="C95" s="6" t="s">
        <v>50</v>
      </c>
      <c r="D95" s="6" t="s">
        <v>22</v>
      </c>
      <c r="E95" s="6" t="s">
        <v>18</v>
      </c>
      <c r="F95" s="7">
        <v>40508</v>
      </c>
      <c r="G95" s="8">
        <f t="shared" si="18"/>
        <v>2010</v>
      </c>
      <c r="H95" s="9">
        <v>660643374</v>
      </c>
      <c r="I95" s="7">
        <v>40537</v>
      </c>
      <c r="J95" s="10">
        <v>7910</v>
      </c>
      <c r="K95" s="9">
        <v>437.2</v>
      </c>
      <c r="L95" s="9">
        <v>263.33</v>
      </c>
      <c r="M95" s="11">
        <v>3458252</v>
      </c>
      <c r="N95" s="11">
        <v>2082940.3</v>
      </c>
      <c r="O95" s="11">
        <v>1375311.7</v>
      </c>
      <c r="S95" s="6" t="s">
        <v>77</v>
      </c>
      <c r="T95" s="11">
        <f t="shared" si="20"/>
        <v>197883.4</v>
      </c>
    </row>
    <row r="96" spans="1:23" x14ac:dyDescent="0.25">
      <c r="A96" s="6" t="s">
        <v>19</v>
      </c>
      <c r="B96" s="6" t="s">
        <v>112</v>
      </c>
      <c r="C96" s="6" t="s">
        <v>52</v>
      </c>
      <c r="D96" s="6" t="s">
        <v>17</v>
      </c>
      <c r="E96" s="6" t="s">
        <v>23</v>
      </c>
      <c r="F96" s="7">
        <v>40582</v>
      </c>
      <c r="G96" s="8">
        <f t="shared" si="18"/>
        <v>2011</v>
      </c>
      <c r="H96" s="9">
        <v>963392674</v>
      </c>
      <c r="I96" s="7">
        <v>40623</v>
      </c>
      <c r="J96" s="10">
        <v>8156</v>
      </c>
      <c r="K96" s="9">
        <v>47.45</v>
      </c>
      <c r="L96" s="9">
        <v>31.79</v>
      </c>
      <c r="M96" s="11">
        <v>387002.2</v>
      </c>
      <c r="N96" s="11">
        <v>259279.24</v>
      </c>
      <c r="O96" s="11">
        <v>127722.96</v>
      </c>
      <c r="S96" s="6" t="s">
        <v>70</v>
      </c>
      <c r="T96" s="11">
        <f t="shared" si="20"/>
        <v>523807.57</v>
      </c>
    </row>
    <row r="97" spans="1:20" x14ac:dyDescent="0.25">
      <c r="A97" s="6" t="s">
        <v>28</v>
      </c>
      <c r="B97" s="6" t="s">
        <v>63</v>
      </c>
      <c r="C97" s="6" t="s">
        <v>44</v>
      </c>
      <c r="D97" s="6" t="s">
        <v>22</v>
      </c>
      <c r="E97" s="6" t="s">
        <v>35</v>
      </c>
      <c r="F97" s="7">
        <v>40750</v>
      </c>
      <c r="G97" s="8">
        <f t="shared" si="18"/>
        <v>2011</v>
      </c>
      <c r="H97" s="9">
        <v>512878119</v>
      </c>
      <c r="I97" s="7">
        <v>40789</v>
      </c>
      <c r="J97" s="10">
        <v>888</v>
      </c>
      <c r="K97" s="9">
        <v>109.28</v>
      </c>
      <c r="L97" s="9">
        <v>35.840000000000003</v>
      </c>
      <c r="M97" s="11">
        <v>97040.639999999999</v>
      </c>
      <c r="N97" s="11">
        <v>31825.919999999998</v>
      </c>
      <c r="O97" s="11">
        <v>65214.720000000001</v>
      </c>
      <c r="S97" s="6" t="s">
        <v>85</v>
      </c>
      <c r="T97" s="11">
        <f t="shared" si="20"/>
        <v>380512.96</v>
      </c>
    </row>
    <row r="98" spans="1:20" x14ac:dyDescent="0.25">
      <c r="A98" s="6" t="s">
        <v>41</v>
      </c>
      <c r="B98" s="6" t="s">
        <v>113</v>
      </c>
      <c r="C98" s="6" t="s">
        <v>30</v>
      </c>
      <c r="D98" s="6" t="s">
        <v>17</v>
      </c>
      <c r="E98" s="6" t="s">
        <v>27</v>
      </c>
      <c r="F98" s="7">
        <v>40858</v>
      </c>
      <c r="G98" s="8">
        <f t="shared" si="18"/>
        <v>2011</v>
      </c>
      <c r="H98" s="9">
        <v>810711038</v>
      </c>
      <c r="I98" s="7">
        <v>40905</v>
      </c>
      <c r="J98" s="10">
        <v>6267</v>
      </c>
      <c r="K98" s="9">
        <v>9.33</v>
      </c>
      <c r="L98" s="9">
        <v>6.92</v>
      </c>
      <c r="M98" s="11">
        <v>58471.11</v>
      </c>
      <c r="N98" s="11">
        <v>43367.64</v>
      </c>
      <c r="O98" s="11">
        <v>15103.47</v>
      </c>
      <c r="S98" s="6" t="s">
        <v>96</v>
      </c>
      <c r="T98" s="11">
        <f t="shared" si="20"/>
        <v>272410.45</v>
      </c>
    </row>
    <row r="99" spans="1:20" x14ac:dyDescent="0.25">
      <c r="A99" s="6" t="s">
        <v>28</v>
      </c>
      <c r="B99" s="6" t="s">
        <v>84</v>
      </c>
      <c r="C99" s="6" t="s">
        <v>37</v>
      </c>
      <c r="D99" s="6" t="s">
        <v>17</v>
      </c>
      <c r="E99" s="6" t="s">
        <v>23</v>
      </c>
      <c r="F99" s="7">
        <v>42522</v>
      </c>
      <c r="G99" s="8">
        <f t="shared" si="18"/>
        <v>2016</v>
      </c>
      <c r="H99" s="9">
        <v>728815257</v>
      </c>
      <c r="I99" s="7">
        <v>42550</v>
      </c>
      <c r="J99" s="10">
        <v>1485</v>
      </c>
      <c r="K99" s="9">
        <v>154.06</v>
      </c>
      <c r="L99" s="9">
        <v>90.93</v>
      </c>
      <c r="M99" s="11">
        <v>228779.1</v>
      </c>
      <c r="N99" s="11">
        <v>135031.04999999999</v>
      </c>
      <c r="O99" s="11">
        <v>93748.05</v>
      </c>
      <c r="S99" s="6" t="s">
        <v>69</v>
      </c>
      <c r="T99" s="11">
        <f t="shared" si="20"/>
        <v>6052890.8600000003</v>
      </c>
    </row>
    <row r="100" spans="1:20" x14ac:dyDescent="0.25">
      <c r="A100" s="6" t="s">
        <v>98</v>
      </c>
      <c r="B100" s="6" t="s">
        <v>99</v>
      </c>
      <c r="C100" s="6" t="s">
        <v>39</v>
      </c>
      <c r="D100" s="6" t="s">
        <v>17</v>
      </c>
      <c r="E100" s="6" t="s">
        <v>35</v>
      </c>
      <c r="F100" s="7">
        <v>42215</v>
      </c>
      <c r="G100" s="8">
        <f t="shared" si="18"/>
        <v>2015</v>
      </c>
      <c r="H100" s="9">
        <v>559427106</v>
      </c>
      <c r="I100" s="7">
        <v>42224</v>
      </c>
      <c r="J100" s="10">
        <v>5767</v>
      </c>
      <c r="K100" s="9">
        <v>81.73</v>
      </c>
      <c r="L100" s="9">
        <v>56.67</v>
      </c>
      <c r="M100" s="11">
        <v>471336.91</v>
      </c>
      <c r="N100" s="11">
        <v>326815.89</v>
      </c>
      <c r="O100" s="11">
        <v>144521.01999999999</v>
      </c>
      <c r="S100" s="6" t="s">
        <v>54</v>
      </c>
      <c r="T100" s="11">
        <f t="shared" si="20"/>
        <v>2492526.12</v>
      </c>
    </row>
    <row r="101" spans="1:20" x14ac:dyDescent="0.25">
      <c r="A101" s="6" t="s">
        <v>28</v>
      </c>
      <c r="B101" s="6" t="s">
        <v>114</v>
      </c>
      <c r="C101" s="6" t="s">
        <v>34</v>
      </c>
      <c r="D101" s="6" t="s">
        <v>17</v>
      </c>
      <c r="E101" s="6" t="s">
        <v>27</v>
      </c>
      <c r="F101" s="7">
        <v>40949</v>
      </c>
      <c r="G101" s="8">
        <f t="shared" si="18"/>
        <v>2012</v>
      </c>
      <c r="H101" s="9">
        <v>665095412</v>
      </c>
      <c r="I101" s="7">
        <v>40954</v>
      </c>
      <c r="J101" s="10">
        <v>5367</v>
      </c>
      <c r="K101" s="9">
        <v>668.27</v>
      </c>
      <c r="L101" s="9">
        <v>502.54</v>
      </c>
      <c r="M101" s="11">
        <v>3586605.09</v>
      </c>
      <c r="N101" s="11">
        <v>2697132.18</v>
      </c>
      <c r="O101" s="11">
        <v>889472.91</v>
      </c>
      <c r="S101" s="6" t="s">
        <v>100</v>
      </c>
      <c r="T101" s="11">
        <f t="shared" si="20"/>
        <v>445033.55</v>
      </c>
    </row>
    <row r="102" spans="1:20" x14ac:dyDescent="0.25">
      <c r="J102" s="16">
        <f>SUM(J2:J101)</f>
        <v>512871</v>
      </c>
      <c r="L102" s="17">
        <f>SUM(L2:L101)</f>
        <v>19104.800000000007</v>
      </c>
      <c r="M102" s="17">
        <f t="shared" ref="M102:O102" si="25">SUM(M2:M101)</f>
        <v>137348768.30999997</v>
      </c>
      <c r="N102" s="17">
        <f t="shared" si="25"/>
        <v>93180569.909999982</v>
      </c>
      <c r="O102" s="17">
        <f t="shared" si="25"/>
        <v>44168198.399999991</v>
      </c>
      <c r="S102" s="6" t="s">
        <v>86</v>
      </c>
      <c r="T102" s="11">
        <f t="shared" si="20"/>
        <v>1082418.3999999999</v>
      </c>
    </row>
    <row r="103" spans="1:20" x14ac:dyDescent="0.25">
      <c r="S103" s="6" t="s">
        <v>61</v>
      </c>
      <c r="T103" s="11">
        <f t="shared" si="20"/>
        <v>793518</v>
      </c>
    </row>
    <row r="104" spans="1:20" x14ac:dyDescent="0.25">
      <c r="S104" s="6" t="s">
        <v>92</v>
      </c>
      <c r="T104" s="11">
        <f t="shared" si="20"/>
        <v>707454.88</v>
      </c>
    </row>
    <row r="105" spans="1:20" x14ac:dyDescent="0.25">
      <c r="S105" s="6" t="s">
        <v>20</v>
      </c>
      <c r="T105" s="11">
        <f t="shared" si="20"/>
        <v>576782.80000000005</v>
      </c>
    </row>
    <row r="106" spans="1:20" x14ac:dyDescent="0.25">
      <c r="S106" s="6" t="s">
        <v>91</v>
      </c>
      <c r="T106" s="11">
        <f t="shared" si="20"/>
        <v>745426</v>
      </c>
    </row>
    <row r="107" spans="1:20" x14ac:dyDescent="0.25">
      <c r="S107" s="6" t="s">
        <v>46</v>
      </c>
      <c r="T107" s="11">
        <f t="shared" si="20"/>
        <v>6336545.4800000004</v>
      </c>
    </row>
    <row r="108" spans="1:20" x14ac:dyDescent="0.25">
      <c r="S108" s="6" t="s">
        <v>78</v>
      </c>
      <c r="T108" s="11">
        <f t="shared" si="20"/>
        <v>3876652.4</v>
      </c>
    </row>
    <row r="109" spans="1:20" x14ac:dyDescent="0.25">
      <c r="S109" s="6" t="s">
        <v>106</v>
      </c>
      <c r="T109" s="11">
        <f t="shared" si="20"/>
        <v>2836990.8</v>
      </c>
    </row>
    <row r="110" spans="1:20" x14ac:dyDescent="0.25">
      <c r="S110" s="6" t="s">
        <v>108</v>
      </c>
      <c r="T110" s="11">
        <f t="shared" si="20"/>
        <v>994765.42</v>
      </c>
    </row>
    <row r="111" spans="1:20" x14ac:dyDescent="0.25">
      <c r="S111" s="6" t="s">
        <v>62</v>
      </c>
      <c r="T111" s="11">
        <f t="shared" si="20"/>
        <v>50363.34</v>
      </c>
    </row>
    <row r="112" spans="1:20" x14ac:dyDescent="0.25">
      <c r="S112" s="6" t="s">
        <v>109</v>
      </c>
      <c r="T112" s="11">
        <f t="shared" si="20"/>
        <v>4870.26</v>
      </c>
    </row>
    <row r="113" spans="19:20" x14ac:dyDescent="0.25">
      <c r="S113" s="6" t="s">
        <v>42</v>
      </c>
      <c r="T113" s="11">
        <f t="shared" si="20"/>
        <v>19103.439999999999</v>
      </c>
    </row>
    <row r="114" spans="19:20" x14ac:dyDescent="0.25">
      <c r="S114" s="6" t="s">
        <v>101</v>
      </c>
      <c r="T114" s="11">
        <f t="shared" si="20"/>
        <v>574951.92000000004</v>
      </c>
    </row>
    <row r="115" spans="19:20" x14ac:dyDescent="0.25">
      <c r="S115" s="6" t="s">
        <v>105</v>
      </c>
      <c r="T115" s="11">
        <f t="shared" si="20"/>
        <v>861563.52</v>
      </c>
    </row>
    <row r="116" spans="19:20" x14ac:dyDescent="0.25">
      <c r="S116" s="6" t="s">
        <v>82</v>
      </c>
      <c r="T116" s="11">
        <f t="shared" si="20"/>
        <v>89623.98</v>
      </c>
    </row>
    <row r="117" spans="19:20" x14ac:dyDescent="0.25">
      <c r="S117" s="6" t="s">
        <v>90</v>
      </c>
      <c r="T117" s="11">
        <f t="shared" si="20"/>
        <v>674635.57</v>
      </c>
    </row>
    <row r="118" spans="19:20" x14ac:dyDescent="0.25">
      <c r="S118" s="6" t="s">
        <v>94</v>
      </c>
      <c r="T118" s="11">
        <f t="shared" si="20"/>
        <v>5396577.2699999996</v>
      </c>
    </row>
    <row r="119" spans="19:20" x14ac:dyDescent="0.25">
      <c r="S119" s="6" t="s">
        <v>79</v>
      </c>
      <c r="T119" s="11">
        <f t="shared" si="20"/>
        <v>856973.76</v>
      </c>
    </row>
    <row r="120" spans="19:20" x14ac:dyDescent="0.25">
      <c r="S120" s="6" t="s">
        <v>95</v>
      </c>
      <c r="T120" s="11">
        <f t="shared" si="20"/>
        <v>802333.76</v>
      </c>
    </row>
    <row r="121" spans="19:20" x14ac:dyDescent="0.25">
      <c r="S121" s="6" t="s">
        <v>113</v>
      </c>
      <c r="T121" s="11">
        <f t="shared" si="20"/>
        <v>58471.11</v>
      </c>
    </row>
    <row r="122" spans="19:20" x14ac:dyDescent="0.25">
      <c r="S122" s="6" t="s">
        <v>63</v>
      </c>
      <c r="T122" s="11">
        <f t="shared" si="20"/>
        <v>151359.9</v>
      </c>
    </row>
    <row r="123" spans="19:20" x14ac:dyDescent="0.25">
      <c r="S123" s="6" t="s">
        <v>80</v>
      </c>
      <c r="T123" s="11">
        <f t="shared" si="20"/>
        <v>824431.86</v>
      </c>
    </row>
    <row r="124" spans="19:20" x14ac:dyDescent="0.25">
      <c r="S124" s="6" t="s">
        <v>99</v>
      </c>
      <c r="T124" s="11">
        <f t="shared" si="20"/>
        <v>5643356.5500000007</v>
      </c>
    </row>
    <row r="125" spans="19:20" x14ac:dyDescent="0.25">
      <c r="S125" s="6" t="s">
        <v>60</v>
      </c>
      <c r="T125" s="11">
        <f t="shared" si="20"/>
        <v>414371.1</v>
      </c>
    </row>
    <row r="126" spans="19:20" x14ac:dyDescent="0.25">
      <c r="S126" s="6" t="s">
        <v>102</v>
      </c>
      <c r="T126" s="11">
        <f t="shared" si="20"/>
        <v>2198981.92</v>
      </c>
    </row>
    <row r="127" spans="19:20" x14ac:dyDescent="0.25">
      <c r="S127" s="6" t="s">
        <v>47</v>
      </c>
      <c r="T127" s="11">
        <f t="shared" si="20"/>
        <v>400558.73</v>
      </c>
    </row>
    <row r="128" spans="19:20" x14ac:dyDescent="0.25">
      <c r="S128" s="6" t="s">
        <v>114</v>
      </c>
      <c r="T128" s="11">
        <f t="shared" si="20"/>
        <v>3586605.09</v>
      </c>
    </row>
    <row r="129" spans="19:20" x14ac:dyDescent="0.25">
      <c r="S129" s="6" t="s">
        <v>68</v>
      </c>
      <c r="T129" s="11">
        <f t="shared" si="20"/>
        <v>6161257.9000000004</v>
      </c>
    </row>
    <row r="130" spans="19:20" x14ac:dyDescent="0.25">
      <c r="S130" s="6" t="s">
        <v>59</v>
      </c>
      <c r="T130" s="11">
        <f t="shared" si="20"/>
        <v>20404.71</v>
      </c>
    </row>
    <row r="131" spans="19:20" x14ac:dyDescent="0.25">
      <c r="S131" s="6" t="s">
        <v>112</v>
      </c>
      <c r="T131" s="11">
        <f t="shared" si="20"/>
        <v>387002.2</v>
      </c>
    </row>
    <row r="132" spans="19:20" x14ac:dyDescent="0.25">
      <c r="S132" s="6" t="s">
        <v>74</v>
      </c>
      <c r="T132" s="11">
        <f t="shared" si="20"/>
        <v>246415.95</v>
      </c>
    </row>
    <row r="133" spans="19:20" x14ac:dyDescent="0.25">
      <c r="S133" s="6" t="s">
        <v>56</v>
      </c>
      <c r="T133" s="11">
        <f t="shared" si="20"/>
        <v>2144969.7999999998</v>
      </c>
    </row>
    <row r="134" spans="19:20" x14ac:dyDescent="0.25">
      <c r="S134" s="6" t="s">
        <v>97</v>
      </c>
      <c r="T134" s="11">
        <f t="shared" si="20"/>
        <v>4324782.4000000004</v>
      </c>
    </row>
    <row r="135" spans="19:20" x14ac:dyDescent="0.25">
      <c r="S135" s="6" t="s">
        <v>57</v>
      </c>
      <c r="T135" s="11">
        <f t="shared" si="20"/>
        <v>324971.44</v>
      </c>
    </row>
    <row r="136" spans="19:20" x14ac:dyDescent="0.25">
      <c r="S136" s="6" t="s">
        <v>38</v>
      </c>
      <c r="T136" s="11">
        <f t="shared" si="20"/>
        <v>496101.1</v>
      </c>
    </row>
    <row r="137" spans="19:20" x14ac:dyDescent="0.25">
      <c r="S137" s="6" t="s">
        <v>111</v>
      </c>
      <c r="T137" s="11">
        <f t="shared" si="20"/>
        <v>3458252</v>
      </c>
    </row>
    <row r="138" spans="19:20" x14ac:dyDescent="0.25">
      <c r="S138" s="6" t="s">
        <v>25</v>
      </c>
      <c r="T138" s="11">
        <f t="shared" si="20"/>
        <v>1158502.5900000001</v>
      </c>
    </row>
    <row r="139" spans="19:20" x14ac:dyDescent="0.25">
      <c r="S139" s="6" t="s">
        <v>31</v>
      </c>
      <c r="T139" s="11">
        <f t="shared" si="20"/>
        <v>5253769.42</v>
      </c>
    </row>
    <row r="140" spans="19:20" x14ac:dyDescent="0.25">
      <c r="S140" s="6" t="s">
        <v>103</v>
      </c>
      <c r="T140" s="11">
        <f t="shared" si="20"/>
        <v>4220728.8</v>
      </c>
    </row>
    <row r="141" spans="19:20" x14ac:dyDescent="0.25">
      <c r="S141" s="6" t="s">
        <v>89</v>
      </c>
      <c r="T141" s="11">
        <f t="shared" si="20"/>
        <v>1212580</v>
      </c>
    </row>
    <row r="142" spans="19:20" x14ac:dyDescent="0.25">
      <c r="S142" s="6" t="s">
        <v>29</v>
      </c>
      <c r="T142" s="11">
        <f t="shared" si="20"/>
        <v>565780.91999999993</v>
      </c>
    </row>
    <row r="143" spans="19:20" x14ac:dyDescent="0.25">
      <c r="S143" s="6" t="s">
        <v>83</v>
      </c>
      <c r="T143" s="11">
        <f t="shared" si="20"/>
        <v>835759.1</v>
      </c>
    </row>
    <row r="144" spans="19:20" x14ac:dyDescent="0.25">
      <c r="S144" s="6" t="s">
        <v>40</v>
      </c>
      <c r="T144" s="11">
        <f t="shared" si="20"/>
        <v>1356180.1</v>
      </c>
    </row>
    <row r="145" spans="19:20" x14ac:dyDescent="0.25">
      <c r="S145" s="6" t="s">
        <v>84</v>
      </c>
      <c r="T145" s="11">
        <f t="shared" si="20"/>
        <v>3097359.1500000004</v>
      </c>
    </row>
    <row r="146" spans="19:20" x14ac:dyDescent="0.25">
      <c r="S146" s="6" t="s">
        <v>76</v>
      </c>
      <c r="T146" s="11">
        <f t="shared" si="20"/>
        <v>26344.26</v>
      </c>
    </row>
    <row r="147" spans="19:20" x14ac:dyDescent="0.25">
      <c r="S147" s="6" t="s">
        <v>110</v>
      </c>
      <c r="T147" s="11">
        <f>SUMIF($B$2:$B$101,S147,$M$2:$M$101)</f>
        <v>221117</v>
      </c>
    </row>
    <row r="148" spans="19:20" x14ac:dyDescent="0.25">
      <c r="S148" s="6" t="s">
        <v>32</v>
      </c>
      <c r="T148" s="11">
        <f t="shared" ref="T148:T158" si="26">SUMIF($B$2:$B$101,S148,$M$2:$M$101)</f>
        <v>759202.72</v>
      </c>
    </row>
    <row r="149" spans="19:20" x14ac:dyDescent="0.25">
      <c r="S149" s="6" t="s">
        <v>66</v>
      </c>
      <c r="T149" s="11">
        <f t="shared" si="26"/>
        <v>173676.25</v>
      </c>
    </row>
    <row r="150" spans="19:20" x14ac:dyDescent="0.25">
      <c r="S150" s="6" t="s">
        <v>104</v>
      </c>
      <c r="T150" s="11">
        <f t="shared" si="26"/>
        <v>3015902.51</v>
      </c>
    </row>
    <row r="151" spans="19:20" x14ac:dyDescent="0.25">
      <c r="S151" s="6" t="s">
        <v>49</v>
      </c>
      <c r="T151" s="11">
        <f t="shared" si="26"/>
        <v>3039414.4</v>
      </c>
    </row>
    <row r="152" spans="19:20" x14ac:dyDescent="0.25">
      <c r="S152" s="6" t="s">
        <v>65</v>
      </c>
      <c r="T152" s="11">
        <f t="shared" si="26"/>
        <v>3808901.49</v>
      </c>
    </row>
    <row r="153" spans="19:20" x14ac:dyDescent="0.25">
      <c r="S153" s="6" t="s">
        <v>72</v>
      </c>
      <c r="T153" s="11">
        <f t="shared" si="26"/>
        <v>35304.720000000001</v>
      </c>
    </row>
    <row r="154" spans="19:20" x14ac:dyDescent="0.25">
      <c r="S154" s="6" t="s">
        <v>64</v>
      </c>
      <c r="T154" s="11">
        <f t="shared" si="26"/>
        <v>5449517.9499999993</v>
      </c>
    </row>
    <row r="155" spans="19:20" x14ac:dyDescent="0.25">
      <c r="S155" s="6" t="s">
        <v>53</v>
      </c>
      <c r="T155" s="11">
        <f t="shared" si="26"/>
        <v>5822036.2000000002</v>
      </c>
    </row>
    <row r="156" spans="19:20" x14ac:dyDescent="0.25">
      <c r="S156" s="6" t="s">
        <v>15</v>
      </c>
      <c r="T156" s="11">
        <f t="shared" si="26"/>
        <v>2533654</v>
      </c>
    </row>
    <row r="157" spans="19:20" x14ac:dyDescent="0.25">
      <c r="S157" s="6" t="s">
        <v>88</v>
      </c>
      <c r="T157" s="11">
        <f t="shared" si="26"/>
        <v>188452.14</v>
      </c>
    </row>
    <row r="158" spans="19:20" x14ac:dyDescent="0.25">
      <c r="S158" s="6" t="s">
        <v>107</v>
      </c>
      <c r="T158" s="11">
        <f t="shared" si="26"/>
        <v>623289.30000000005</v>
      </c>
    </row>
    <row r="159" spans="19:20" x14ac:dyDescent="0.25">
      <c r="S159" s="12" t="s">
        <v>124</v>
      </c>
      <c r="T159" s="17">
        <f>SUBTOTAL(9,T83:T158)</f>
        <v>137348768.31</v>
      </c>
    </row>
    <row r="161" spans="19:21" x14ac:dyDescent="0.25">
      <c r="S161" s="39" t="s">
        <v>140</v>
      </c>
      <c r="T161" s="39"/>
      <c r="U161" s="39"/>
    </row>
    <row r="162" spans="19:21" x14ac:dyDescent="0.25">
      <c r="S162" s="12" t="s">
        <v>115</v>
      </c>
      <c r="T162" s="19" t="s">
        <v>123</v>
      </c>
      <c r="U162" s="12" t="s">
        <v>127</v>
      </c>
    </row>
    <row r="163" spans="19:21" x14ac:dyDescent="0.25">
      <c r="S163" s="8">
        <v>2010</v>
      </c>
      <c r="T163" s="18">
        <f>SUMIF($G$2:$G$101,S163,$M$2:$M$101)</f>
        <v>19186024.920000002</v>
      </c>
      <c r="U163" s="23">
        <f>((T163-T163)/T163)*100</f>
        <v>0</v>
      </c>
    </row>
    <row r="164" spans="19:21" x14ac:dyDescent="0.25">
      <c r="S164" s="8">
        <v>2011</v>
      </c>
      <c r="T164" s="18">
        <f t="shared" ref="T164:T170" si="27">SUMIF($G$2:$G$101,S164,$M$2:$M$101)</f>
        <v>11129166.07</v>
      </c>
      <c r="U164" s="23">
        <f>((T164-T163)/T163)*100</f>
        <v>-41.99337217372905</v>
      </c>
    </row>
    <row r="165" spans="19:21" x14ac:dyDescent="0.25">
      <c r="S165" s="8">
        <v>2012</v>
      </c>
      <c r="T165" s="18">
        <f t="shared" si="27"/>
        <v>31898644.52</v>
      </c>
      <c r="U165" s="23">
        <f t="shared" ref="U165:U170" si="28">((T165-T164)/T164)*100</f>
        <v>186.62205523185261</v>
      </c>
    </row>
    <row r="166" spans="19:21" x14ac:dyDescent="0.25">
      <c r="S166" s="8">
        <v>2013</v>
      </c>
      <c r="T166" s="18">
        <f t="shared" si="27"/>
        <v>20330448.66</v>
      </c>
      <c r="U166" s="23">
        <f t="shared" si="28"/>
        <v>-36.265477841062818</v>
      </c>
    </row>
    <row r="167" spans="19:21" x14ac:dyDescent="0.25">
      <c r="S167" s="8">
        <v>2014</v>
      </c>
      <c r="T167" s="18">
        <f t="shared" si="27"/>
        <v>16630214.430000002</v>
      </c>
      <c r="U167" s="23">
        <f t="shared" si="28"/>
        <v>-18.2004553459766</v>
      </c>
    </row>
    <row r="168" spans="19:21" x14ac:dyDescent="0.25">
      <c r="S168" s="8">
        <v>2015</v>
      </c>
      <c r="T168" s="18">
        <f t="shared" si="27"/>
        <v>12427982.860000001</v>
      </c>
      <c r="U168" s="23">
        <f t="shared" si="28"/>
        <v>-25.26865536032658</v>
      </c>
    </row>
    <row r="169" spans="19:21" x14ac:dyDescent="0.25">
      <c r="S169" s="8">
        <v>2016</v>
      </c>
      <c r="T169" s="18">
        <f t="shared" si="27"/>
        <v>12372867.219999999</v>
      </c>
      <c r="U169" s="23">
        <f t="shared" si="28"/>
        <v>-0.44348017390170791</v>
      </c>
    </row>
    <row r="170" spans="19:21" x14ac:dyDescent="0.25">
      <c r="S170" s="8">
        <v>2017</v>
      </c>
      <c r="T170" s="18">
        <f t="shared" si="27"/>
        <v>13373419.629999999</v>
      </c>
      <c r="U170" s="23">
        <f t="shared" si="28"/>
        <v>8.0866657033437406</v>
      </c>
    </row>
    <row r="171" spans="19:21" x14ac:dyDescent="0.25">
      <c r="S171" s="12" t="s">
        <v>124</v>
      </c>
      <c r="T171" s="29">
        <f>SUM(T163:T170)</f>
        <v>137348768.31</v>
      </c>
      <c r="U171" s="6"/>
    </row>
  </sheetData>
  <autoFilter ref="A1:O102" xr:uid="{94D4A07C-5D79-4258-A4E1-8C7BD9F60BD2}"/>
  <sortState xmlns:xlrd2="http://schemas.microsoft.com/office/spreadsheetml/2017/richdata2" ref="S17:S24">
    <sortCondition ref="S17:S24"/>
  </sortState>
  <mergeCells count="9">
    <mergeCell ref="S27:AA27"/>
    <mergeCell ref="S15:T15"/>
    <mergeCell ref="S161:U161"/>
    <mergeCell ref="U81:W81"/>
    <mergeCell ref="U87:W87"/>
    <mergeCell ref="S81:T81"/>
    <mergeCell ref="S70:T70"/>
    <mergeCell ref="S54:V54"/>
    <mergeCell ref="S43:U43"/>
  </mergeCells>
  <pageMargins left="0.7" right="0.7" top="0.75" bottom="0.75" header="0.3" footer="0.3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376A-B51F-49A6-BF87-9144BF926338}">
  <sheetPr>
    <tabColor rgb="FFFFFF00"/>
  </sheetPr>
  <dimension ref="A1:P102"/>
  <sheetViews>
    <sheetView workbookViewId="0">
      <selection activeCell="G2" sqref="G2"/>
    </sheetView>
  </sheetViews>
  <sheetFormatPr defaultRowHeight="15" x14ac:dyDescent="0.25"/>
  <cols>
    <col min="1" max="1" width="32.42578125" bestFit="1" customWidth="1"/>
    <col min="2" max="2" width="31.5703125" bestFit="1" customWidth="1"/>
    <col min="3" max="3" width="14.5703125" customWidth="1"/>
    <col min="4" max="4" width="13.42578125" bestFit="1" customWidth="1"/>
    <col min="5" max="5" width="13.28515625" bestFit="1" customWidth="1"/>
    <col min="6" max="6" width="10.7109375" style="2" bestFit="1" customWidth="1"/>
    <col min="7" max="7" width="5" style="3" bestFit="1" customWidth="1"/>
    <col min="8" max="8" width="10" style="1" bestFit="1" customWidth="1"/>
    <col min="9" max="9" width="10.7109375" style="2" bestFit="1" customWidth="1"/>
    <col min="10" max="10" width="11.28515625" style="5" bestFit="1" customWidth="1"/>
    <col min="11" max="11" width="12.42578125" style="1" bestFit="1" customWidth="1"/>
    <col min="12" max="12" width="11.85546875" style="1" bestFit="1" customWidth="1"/>
    <col min="13" max="13" width="17.42578125" style="4" bestFit="1" customWidth="1"/>
    <col min="14" max="14" width="14.140625" style="4" bestFit="1" customWidth="1"/>
    <col min="15" max="15" width="15.28515625" style="4" bestFit="1" customWidth="1"/>
    <col min="16" max="16" width="14.5703125" bestFit="1" customWidth="1"/>
  </cols>
  <sheetData>
    <row r="1" spans="1:16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4" t="s">
        <v>115</v>
      </c>
      <c r="H1" s="15" t="s">
        <v>6</v>
      </c>
      <c r="I1" s="13" t="s">
        <v>7</v>
      </c>
      <c r="J1" s="16" t="s">
        <v>8</v>
      </c>
      <c r="K1" s="15" t="s">
        <v>116</v>
      </c>
      <c r="L1" s="15" t="s">
        <v>117</v>
      </c>
      <c r="M1" s="17" t="s">
        <v>118</v>
      </c>
      <c r="N1" s="17" t="s">
        <v>119</v>
      </c>
      <c r="O1" s="17" t="s">
        <v>120</v>
      </c>
      <c r="P1" s="36" t="s">
        <v>144</v>
      </c>
    </row>
    <row r="2" spans="1:16" x14ac:dyDescent="0.25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7">
        <v>40326</v>
      </c>
      <c r="G2" s="8">
        <f>YEAR(F2)</f>
        <v>2010</v>
      </c>
      <c r="H2" s="9">
        <v>669165933</v>
      </c>
      <c r="I2" s="7">
        <v>40356</v>
      </c>
      <c r="J2" s="10">
        <v>9925</v>
      </c>
      <c r="K2" s="9">
        <v>255.28</v>
      </c>
      <c r="L2" s="9">
        <v>159.41999999999999</v>
      </c>
      <c r="M2" s="11">
        <v>2533654</v>
      </c>
      <c r="N2" s="11">
        <v>1582243.5</v>
      </c>
      <c r="O2" s="11">
        <v>951410.5</v>
      </c>
      <c r="P2" s="37">
        <f>O2/M2</f>
        <v>0.37550924475086178</v>
      </c>
    </row>
    <row r="3" spans="1:16" x14ac:dyDescent="0.25">
      <c r="A3" s="6" t="s">
        <v>19</v>
      </c>
      <c r="B3" s="6" t="s">
        <v>20</v>
      </c>
      <c r="C3" s="6" t="s">
        <v>21</v>
      </c>
      <c r="D3" s="6" t="s">
        <v>22</v>
      </c>
      <c r="E3" s="6" t="s">
        <v>23</v>
      </c>
      <c r="F3" s="7">
        <v>41143</v>
      </c>
      <c r="G3" s="8">
        <f t="shared" ref="G3:G66" si="0">YEAR(F3)</f>
        <v>2012</v>
      </c>
      <c r="H3" s="9">
        <v>963881480</v>
      </c>
      <c r="I3" s="7">
        <v>41167</v>
      </c>
      <c r="J3" s="10">
        <v>2804</v>
      </c>
      <c r="K3" s="9">
        <v>205.7</v>
      </c>
      <c r="L3" s="9">
        <v>117.11</v>
      </c>
      <c r="M3" s="11">
        <v>576782.80000000005</v>
      </c>
      <c r="N3" s="11">
        <v>328376.44</v>
      </c>
      <c r="O3" s="11">
        <v>248406.36</v>
      </c>
      <c r="P3" s="37">
        <f t="shared" ref="P3:P66" si="1">O3/M3</f>
        <v>0.43067574137092846</v>
      </c>
    </row>
    <row r="4" spans="1:16" x14ac:dyDescent="0.25">
      <c r="A4" s="6" t="s">
        <v>24</v>
      </c>
      <c r="B4" s="6" t="s">
        <v>25</v>
      </c>
      <c r="C4" s="6" t="s">
        <v>26</v>
      </c>
      <c r="D4" s="6" t="s">
        <v>17</v>
      </c>
      <c r="E4" s="6" t="s">
        <v>27</v>
      </c>
      <c r="F4" s="7">
        <v>41761</v>
      </c>
      <c r="G4" s="8">
        <f t="shared" si="0"/>
        <v>2014</v>
      </c>
      <c r="H4" s="9">
        <v>341417157</v>
      </c>
      <c r="I4" s="7">
        <v>41767</v>
      </c>
      <c r="J4" s="10">
        <v>1779</v>
      </c>
      <c r="K4" s="9">
        <v>651.21</v>
      </c>
      <c r="L4" s="9">
        <v>524.96</v>
      </c>
      <c r="M4" s="11">
        <v>1158502.5900000001</v>
      </c>
      <c r="N4" s="11">
        <v>933903.84</v>
      </c>
      <c r="O4" s="11">
        <v>224598.75</v>
      </c>
      <c r="P4" s="37">
        <f t="shared" si="1"/>
        <v>0.19386987300563566</v>
      </c>
    </row>
    <row r="5" spans="1:16" x14ac:dyDescent="0.25">
      <c r="A5" s="6" t="s">
        <v>28</v>
      </c>
      <c r="B5" s="6" t="s">
        <v>29</v>
      </c>
      <c r="C5" s="6" t="s">
        <v>30</v>
      </c>
      <c r="D5" s="6" t="s">
        <v>22</v>
      </c>
      <c r="E5" s="6" t="s">
        <v>23</v>
      </c>
      <c r="F5" s="7">
        <v>41810</v>
      </c>
      <c r="G5" s="8">
        <f t="shared" si="0"/>
        <v>2014</v>
      </c>
      <c r="H5" s="9">
        <v>514321792</v>
      </c>
      <c r="I5" s="7">
        <v>41825</v>
      </c>
      <c r="J5" s="10">
        <v>8102</v>
      </c>
      <c r="K5" s="9">
        <v>9.33</v>
      </c>
      <c r="L5" s="9">
        <v>6.92</v>
      </c>
      <c r="M5" s="11">
        <v>75591.66</v>
      </c>
      <c r="N5" s="11">
        <v>56065.84</v>
      </c>
      <c r="O5" s="11">
        <v>19525.82</v>
      </c>
      <c r="P5" s="37">
        <f t="shared" si="1"/>
        <v>0.25830653804930331</v>
      </c>
    </row>
    <row r="6" spans="1:16" x14ac:dyDescent="0.25">
      <c r="A6" s="6" t="s">
        <v>28</v>
      </c>
      <c r="B6" s="6" t="s">
        <v>31</v>
      </c>
      <c r="C6" s="6" t="s">
        <v>26</v>
      </c>
      <c r="D6" s="6" t="s">
        <v>17</v>
      </c>
      <c r="E6" s="6" t="s">
        <v>27</v>
      </c>
      <c r="F6" s="7">
        <v>41306</v>
      </c>
      <c r="G6" s="8">
        <f t="shared" si="0"/>
        <v>2013</v>
      </c>
      <c r="H6" s="9">
        <v>115456712</v>
      </c>
      <c r="I6" s="7">
        <v>41311</v>
      </c>
      <c r="J6" s="10">
        <v>5062</v>
      </c>
      <c r="K6" s="9">
        <v>651.21</v>
      </c>
      <c r="L6" s="9">
        <v>524.96</v>
      </c>
      <c r="M6" s="11">
        <v>3296425.02</v>
      </c>
      <c r="N6" s="11">
        <v>2657347.52</v>
      </c>
      <c r="O6" s="11">
        <v>639077.5</v>
      </c>
      <c r="P6" s="37">
        <f t="shared" si="1"/>
        <v>0.19386987300563566</v>
      </c>
    </row>
    <row r="7" spans="1:16" x14ac:dyDescent="0.25">
      <c r="A7" s="6" t="s">
        <v>14</v>
      </c>
      <c r="B7" s="6" t="s">
        <v>32</v>
      </c>
      <c r="C7" s="6" t="s">
        <v>16</v>
      </c>
      <c r="D7" s="6" t="s">
        <v>22</v>
      </c>
      <c r="E7" s="6" t="s">
        <v>23</v>
      </c>
      <c r="F7" s="7">
        <v>42039</v>
      </c>
      <c r="G7" s="8">
        <f t="shared" si="0"/>
        <v>2015</v>
      </c>
      <c r="H7" s="9">
        <v>547995746</v>
      </c>
      <c r="I7" s="7">
        <v>42056</v>
      </c>
      <c r="J7" s="10">
        <v>2974</v>
      </c>
      <c r="K7" s="9">
        <v>255.28</v>
      </c>
      <c r="L7" s="9">
        <v>159.41999999999999</v>
      </c>
      <c r="M7" s="11">
        <v>759202.72</v>
      </c>
      <c r="N7" s="11">
        <v>474115.08</v>
      </c>
      <c r="O7" s="11">
        <v>285087.64</v>
      </c>
      <c r="P7" s="37">
        <f t="shared" si="1"/>
        <v>0.37550924475086184</v>
      </c>
    </row>
    <row r="8" spans="1:16" x14ac:dyDescent="0.25">
      <c r="A8" s="6" t="s">
        <v>28</v>
      </c>
      <c r="B8" s="6" t="s">
        <v>33</v>
      </c>
      <c r="C8" s="6" t="s">
        <v>34</v>
      </c>
      <c r="D8" s="6" t="s">
        <v>17</v>
      </c>
      <c r="E8" s="6" t="s">
        <v>35</v>
      </c>
      <c r="F8" s="7">
        <v>40656</v>
      </c>
      <c r="G8" s="8">
        <f t="shared" si="0"/>
        <v>2011</v>
      </c>
      <c r="H8" s="9">
        <v>135425221</v>
      </c>
      <c r="I8" s="7">
        <v>40660</v>
      </c>
      <c r="J8" s="10">
        <v>4187</v>
      </c>
      <c r="K8" s="9">
        <v>668.27</v>
      </c>
      <c r="L8" s="9">
        <v>502.54</v>
      </c>
      <c r="M8" s="11">
        <v>2798046.49</v>
      </c>
      <c r="N8" s="11">
        <v>2104134.98</v>
      </c>
      <c r="O8" s="11">
        <v>693911.51</v>
      </c>
      <c r="P8" s="37">
        <f t="shared" si="1"/>
        <v>0.24799856345489096</v>
      </c>
    </row>
    <row r="9" spans="1:16" x14ac:dyDescent="0.25">
      <c r="A9" s="6" t="s">
        <v>28</v>
      </c>
      <c r="B9" s="6" t="s">
        <v>36</v>
      </c>
      <c r="C9" s="6" t="s">
        <v>37</v>
      </c>
      <c r="D9" s="6" t="s">
        <v>22</v>
      </c>
      <c r="E9" s="6" t="s">
        <v>18</v>
      </c>
      <c r="F9" s="7">
        <v>41107</v>
      </c>
      <c r="G9" s="8">
        <f t="shared" si="0"/>
        <v>2012</v>
      </c>
      <c r="H9" s="9">
        <v>871543967</v>
      </c>
      <c r="I9" s="7">
        <v>41117</v>
      </c>
      <c r="J9" s="10">
        <v>8082</v>
      </c>
      <c r="K9" s="9">
        <v>154.06</v>
      </c>
      <c r="L9" s="9">
        <v>90.93</v>
      </c>
      <c r="M9" s="11">
        <v>1245112.92</v>
      </c>
      <c r="N9" s="11">
        <v>734896.26</v>
      </c>
      <c r="O9" s="11">
        <v>510216.66</v>
      </c>
      <c r="P9" s="37">
        <f t="shared" si="1"/>
        <v>0.40977541217707386</v>
      </c>
    </row>
    <row r="10" spans="1:16" x14ac:dyDescent="0.25">
      <c r="A10" s="6" t="s">
        <v>28</v>
      </c>
      <c r="B10" s="6" t="s">
        <v>38</v>
      </c>
      <c r="C10" s="6" t="s">
        <v>39</v>
      </c>
      <c r="D10" s="6" t="s">
        <v>17</v>
      </c>
      <c r="E10" s="6" t="s">
        <v>35</v>
      </c>
      <c r="F10" s="7">
        <v>42199</v>
      </c>
      <c r="G10" s="8">
        <f t="shared" si="0"/>
        <v>2015</v>
      </c>
      <c r="H10" s="9">
        <v>770463311</v>
      </c>
      <c r="I10" s="7">
        <v>42241</v>
      </c>
      <c r="J10" s="10">
        <v>6070</v>
      </c>
      <c r="K10" s="9">
        <v>81.73</v>
      </c>
      <c r="L10" s="9">
        <v>56.67</v>
      </c>
      <c r="M10" s="11">
        <v>496101.1</v>
      </c>
      <c r="N10" s="11">
        <v>343986.9</v>
      </c>
      <c r="O10" s="11">
        <v>152114.20000000001</v>
      </c>
      <c r="P10" s="37">
        <f t="shared" si="1"/>
        <v>0.30661935641747218</v>
      </c>
    </row>
    <row r="11" spans="1:16" x14ac:dyDescent="0.25">
      <c r="A11" s="6" t="s">
        <v>28</v>
      </c>
      <c r="B11" s="6" t="s">
        <v>40</v>
      </c>
      <c r="C11" s="6" t="s">
        <v>21</v>
      </c>
      <c r="D11" s="6" t="s">
        <v>22</v>
      </c>
      <c r="E11" s="6" t="s">
        <v>18</v>
      </c>
      <c r="F11" s="7">
        <v>41747</v>
      </c>
      <c r="G11" s="8">
        <f t="shared" si="0"/>
        <v>2014</v>
      </c>
      <c r="H11" s="9">
        <v>616607081</v>
      </c>
      <c r="I11" s="7">
        <v>41789</v>
      </c>
      <c r="J11" s="10">
        <v>6593</v>
      </c>
      <c r="K11" s="9">
        <v>205.7</v>
      </c>
      <c r="L11" s="9">
        <v>117.11</v>
      </c>
      <c r="M11" s="11">
        <v>1356180.1</v>
      </c>
      <c r="N11" s="11">
        <v>772106.23</v>
      </c>
      <c r="O11" s="11">
        <v>584073.87</v>
      </c>
      <c r="P11" s="37">
        <f t="shared" si="1"/>
        <v>0.43067574137092851</v>
      </c>
    </row>
    <row r="12" spans="1:16" x14ac:dyDescent="0.25">
      <c r="A12" s="6" t="s">
        <v>41</v>
      </c>
      <c r="B12" s="6" t="s">
        <v>42</v>
      </c>
      <c r="C12" s="6" t="s">
        <v>37</v>
      </c>
      <c r="D12" s="6" t="s">
        <v>22</v>
      </c>
      <c r="E12" s="6" t="s">
        <v>18</v>
      </c>
      <c r="F12" s="7">
        <v>40718</v>
      </c>
      <c r="G12" s="8">
        <f t="shared" si="0"/>
        <v>2011</v>
      </c>
      <c r="H12" s="9">
        <v>814711606</v>
      </c>
      <c r="I12" s="7">
        <v>40736</v>
      </c>
      <c r="J12" s="10">
        <v>124</v>
      </c>
      <c r="K12" s="9">
        <v>154.06</v>
      </c>
      <c r="L12" s="9">
        <v>90.93</v>
      </c>
      <c r="M12" s="11">
        <v>19103.439999999999</v>
      </c>
      <c r="N12" s="11">
        <v>11275.32</v>
      </c>
      <c r="O12" s="11">
        <v>7828.12</v>
      </c>
      <c r="P12" s="37">
        <f t="shared" si="1"/>
        <v>0.40977541217707392</v>
      </c>
    </row>
    <row r="13" spans="1:16" x14ac:dyDescent="0.25">
      <c r="A13" s="6" t="s">
        <v>28</v>
      </c>
      <c r="B13" s="6" t="s">
        <v>43</v>
      </c>
      <c r="C13" s="6" t="s">
        <v>44</v>
      </c>
      <c r="D13" s="6" t="s">
        <v>17</v>
      </c>
      <c r="E13" s="6" t="s">
        <v>18</v>
      </c>
      <c r="F13" s="7">
        <v>41853</v>
      </c>
      <c r="G13" s="8">
        <f t="shared" si="0"/>
        <v>2014</v>
      </c>
      <c r="H13" s="9">
        <v>939825713</v>
      </c>
      <c r="I13" s="7">
        <v>41870</v>
      </c>
      <c r="J13" s="10">
        <v>4168</v>
      </c>
      <c r="K13" s="9">
        <v>109.28</v>
      </c>
      <c r="L13" s="9">
        <v>35.840000000000003</v>
      </c>
      <c r="M13" s="11">
        <v>455479.03999999998</v>
      </c>
      <c r="N13" s="11">
        <v>149381.12</v>
      </c>
      <c r="O13" s="11">
        <v>306097.91999999998</v>
      </c>
      <c r="P13" s="37">
        <f t="shared" si="1"/>
        <v>0.67203513909224011</v>
      </c>
    </row>
    <row r="14" spans="1:16" x14ac:dyDescent="0.25">
      <c r="A14" s="6" t="s">
        <v>41</v>
      </c>
      <c r="B14" s="6" t="s">
        <v>45</v>
      </c>
      <c r="C14" s="6" t="s">
        <v>44</v>
      </c>
      <c r="D14" s="6" t="s">
        <v>22</v>
      </c>
      <c r="E14" s="6" t="s">
        <v>27</v>
      </c>
      <c r="F14" s="7">
        <v>42748</v>
      </c>
      <c r="G14" s="8">
        <f t="shared" si="0"/>
        <v>2017</v>
      </c>
      <c r="H14" s="9">
        <v>187310731</v>
      </c>
      <c r="I14" s="7">
        <v>42795</v>
      </c>
      <c r="J14" s="10">
        <v>8263</v>
      </c>
      <c r="K14" s="9">
        <v>109.28</v>
      </c>
      <c r="L14" s="9">
        <v>35.840000000000003</v>
      </c>
      <c r="M14" s="11">
        <v>902980.64</v>
      </c>
      <c r="N14" s="11">
        <v>296145.91999999998</v>
      </c>
      <c r="O14" s="11">
        <v>606834.72</v>
      </c>
      <c r="P14" s="37">
        <f t="shared" si="1"/>
        <v>0.67203513909224011</v>
      </c>
    </row>
    <row r="15" spans="1:16" x14ac:dyDescent="0.25">
      <c r="A15" s="6" t="s">
        <v>19</v>
      </c>
      <c r="B15" s="6" t="s">
        <v>46</v>
      </c>
      <c r="C15" s="6" t="s">
        <v>34</v>
      </c>
      <c r="D15" s="6" t="s">
        <v>17</v>
      </c>
      <c r="E15" s="6" t="s">
        <v>18</v>
      </c>
      <c r="F15" s="7">
        <v>42774</v>
      </c>
      <c r="G15" s="8">
        <f t="shared" si="0"/>
        <v>2017</v>
      </c>
      <c r="H15" s="9">
        <v>522840487</v>
      </c>
      <c r="I15" s="7">
        <v>42779</v>
      </c>
      <c r="J15" s="10">
        <v>8974</v>
      </c>
      <c r="K15" s="9">
        <v>668.27</v>
      </c>
      <c r="L15" s="9">
        <v>502.54</v>
      </c>
      <c r="M15" s="11">
        <v>5997054.9800000004</v>
      </c>
      <c r="N15" s="11">
        <v>4509793.96</v>
      </c>
      <c r="O15" s="11">
        <v>1487261.02</v>
      </c>
      <c r="P15" s="37">
        <f t="shared" si="1"/>
        <v>0.24799856345489096</v>
      </c>
    </row>
    <row r="16" spans="1:16" x14ac:dyDescent="0.25">
      <c r="A16" s="6" t="s">
        <v>41</v>
      </c>
      <c r="B16" s="6" t="s">
        <v>47</v>
      </c>
      <c r="C16" s="6" t="s">
        <v>39</v>
      </c>
      <c r="D16" s="6" t="s">
        <v>17</v>
      </c>
      <c r="E16" s="6" t="s">
        <v>23</v>
      </c>
      <c r="F16" s="7">
        <v>41689</v>
      </c>
      <c r="G16" s="8">
        <f t="shared" si="0"/>
        <v>2014</v>
      </c>
      <c r="H16" s="9">
        <v>832401311</v>
      </c>
      <c r="I16" s="7">
        <v>41693</v>
      </c>
      <c r="J16" s="10">
        <v>4901</v>
      </c>
      <c r="K16" s="9">
        <v>81.73</v>
      </c>
      <c r="L16" s="9">
        <v>56.67</v>
      </c>
      <c r="M16" s="11">
        <v>400558.73</v>
      </c>
      <c r="N16" s="11">
        <v>277739.67</v>
      </c>
      <c r="O16" s="11">
        <v>122819.06</v>
      </c>
      <c r="P16" s="37">
        <f t="shared" si="1"/>
        <v>0.30661935641747218</v>
      </c>
    </row>
    <row r="17" spans="1:16" x14ac:dyDescent="0.25">
      <c r="A17" s="6" t="s">
        <v>24</v>
      </c>
      <c r="B17" s="6" t="s">
        <v>48</v>
      </c>
      <c r="C17" s="6" t="s">
        <v>44</v>
      </c>
      <c r="D17" s="6" t="s">
        <v>22</v>
      </c>
      <c r="E17" s="6" t="s">
        <v>35</v>
      </c>
      <c r="F17" s="7">
        <v>41022</v>
      </c>
      <c r="G17" s="8">
        <f t="shared" si="0"/>
        <v>2012</v>
      </c>
      <c r="H17" s="9">
        <v>972292029</v>
      </c>
      <c r="I17" s="7">
        <v>41063</v>
      </c>
      <c r="J17" s="10">
        <v>1673</v>
      </c>
      <c r="K17" s="9">
        <v>109.28</v>
      </c>
      <c r="L17" s="9">
        <v>35.840000000000003</v>
      </c>
      <c r="M17" s="11">
        <v>182825.44</v>
      </c>
      <c r="N17" s="11">
        <v>59960.32</v>
      </c>
      <c r="O17" s="11">
        <v>122865.12</v>
      </c>
      <c r="P17" s="37">
        <f t="shared" si="1"/>
        <v>0.67203513909224011</v>
      </c>
    </row>
    <row r="18" spans="1:16" x14ac:dyDescent="0.25">
      <c r="A18" s="6" t="s">
        <v>41</v>
      </c>
      <c r="B18" s="6" t="s">
        <v>49</v>
      </c>
      <c r="C18" s="6" t="s">
        <v>50</v>
      </c>
      <c r="D18" s="6" t="s">
        <v>17</v>
      </c>
      <c r="E18" s="6" t="s">
        <v>35</v>
      </c>
      <c r="F18" s="7">
        <v>42693</v>
      </c>
      <c r="G18" s="8">
        <f t="shared" si="0"/>
        <v>2016</v>
      </c>
      <c r="H18" s="9">
        <v>419123971</v>
      </c>
      <c r="I18" s="7">
        <v>42722</v>
      </c>
      <c r="J18" s="10">
        <v>6952</v>
      </c>
      <c r="K18" s="9">
        <v>437.2</v>
      </c>
      <c r="L18" s="9">
        <v>263.33</v>
      </c>
      <c r="M18" s="11">
        <v>3039414.4</v>
      </c>
      <c r="N18" s="11">
        <v>1830670.16</v>
      </c>
      <c r="O18" s="11">
        <v>1208744.24</v>
      </c>
      <c r="P18" s="37">
        <f t="shared" si="1"/>
        <v>0.39768984446477584</v>
      </c>
    </row>
    <row r="19" spans="1:16" x14ac:dyDescent="0.25">
      <c r="A19" s="6" t="s">
        <v>28</v>
      </c>
      <c r="B19" s="6" t="s">
        <v>51</v>
      </c>
      <c r="C19" s="6" t="s">
        <v>52</v>
      </c>
      <c r="D19" s="6" t="s">
        <v>17</v>
      </c>
      <c r="E19" s="6" t="s">
        <v>23</v>
      </c>
      <c r="F19" s="7">
        <v>42095</v>
      </c>
      <c r="G19" s="8">
        <f t="shared" si="0"/>
        <v>2015</v>
      </c>
      <c r="H19" s="9">
        <v>519820964</v>
      </c>
      <c r="I19" s="7">
        <v>42112</v>
      </c>
      <c r="J19" s="10">
        <v>5430</v>
      </c>
      <c r="K19" s="9">
        <v>47.45</v>
      </c>
      <c r="L19" s="9">
        <v>31.79</v>
      </c>
      <c r="M19" s="11">
        <v>257653.5</v>
      </c>
      <c r="N19" s="11">
        <v>172619.7</v>
      </c>
      <c r="O19" s="11">
        <v>85033.8</v>
      </c>
      <c r="P19" s="37">
        <f t="shared" si="1"/>
        <v>0.33003161222339306</v>
      </c>
    </row>
    <row r="20" spans="1:16" x14ac:dyDescent="0.25">
      <c r="A20" s="6" t="s">
        <v>41</v>
      </c>
      <c r="B20" s="6" t="s">
        <v>53</v>
      </c>
      <c r="C20" s="6" t="s">
        <v>34</v>
      </c>
      <c r="D20" s="6" t="s">
        <v>17</v>
      </c>
      <c r="E20" s="6" t="s">
        <v>27</v>
      </c>
      <c r="F20" s="7">
        <v>40542</v>
      </c>
      <c r="G20" s="8">
        <f t="shared" si="0"/>
        <v>2010</v>
      </c>
      <c r="H20" s="9">
        <v>441619336</v>
      </c>
      <c r="I20" s="7">
        <v>40563</v>
      </c>
      <c r="J20" s="10">
        <v>3830</v>
      </c>
      <c r="K20" s="9">
        <v>668.27</v>
      </c>
      <c r="L20" s="9">
        <v>502.54</v>
      </c>
      <c r="M20" s="11">
        <v>2559474.1</v>
      </c>
      <c r="N20" s="11">
        <v>1924728.2</v>
      </c>
      <c r="O20" s="11">
        <v>634745.9</v>
      </c>
      <c r="P20" s="37">
        <f t="shared" si="1"/>
        <v>0.24799856345489099</v>
      </c>
    </row>
    <row r="21" spans="1:16" x14ac:dyDescent="0.25">
      <c r="A21" s="6" t="s">
        <v>14</v>
      </c>
      <c r="B21" s="6" t="s">
        <v>54</v>
      </c>
      <c r="C21" s="6" t="s">
        <v>55</v>
      </c>
      <c r="D21" s="6" t="s">
        <v>22</v>
      </c>
      <c r="E21" s="6" t="s">
        <v>27</v>
      </c>
      <c r="F21" s="7">
        <v>41121</v>
      </c>
      <c r="G21" s="8">
        <f t="shared" si="0"/>
        <v>2012</v>
      </c>
      <c r="H21" s="9">
        <v>322067916</v>
      </c>
      <c r="I21" s="7">
        <v>41163</v>
      </c>
      <c r="J21" s="10">
        <v>5908</v>
      </c>
      <c r="K21" s="9">
        <v>421.89</v>
      </c>
      <c r="L21" s="9">
        <v>364.69</v>
      </c>
      <c r="M21" s="11">
        <v>2492526.12</v>
      </c>
      <c r="N21" s="11">
        <v>2154588.52</v>
      </c>
      <c r="O21" s="11">
        <v>337937.6</v>
      </c>
      <c r="P21" s="37">
        <f t="shared" si="1"/>
        <v>0.13558036455000116</v>
      </c>
    </row>
    <row r="22" spans="1:16" x14ac:dyDescent="0.25">
      <c r="A22" s="6" t="s">
        <v>24</v>
      </c>
      <c r="B22" s="6" t="s">
        <v>56</v>
      </c>
      <c r="C22" s="6" t="s">
        <v>16</v>
      </c>
      <c r="D22" s="6" t="s">
        <v>22</v>
      </c>
      <c r="E22" s="6" t="s">
        <v>27</v>
      </c>
      <c r="F22" s="7">
        <v>41773</v>
      </c>
      <c r="G22" s="8">
        <f t="shared" si="0"/>
        <v>2014</v>
      </c>
      <c r="H22" s="9">
        <v>819028031</v>
      </c>
      <c r="I22" s="7">
        <v>41818</v>
      </c>
      <c r="J22" s="10">
        <v>7450</v>
      </c>
      <c r="K22" s="9">
        <v>255.28</v>
      </c>
      <c r="L22" s="9">
        <v>159.41999999999999</v>
      </c>
      <c r="M22" s="11">
        <v>1901836</v>
      </c>
      <c r="N22" s="11">
        <v>1187679</v>
      </c>
      <c r="O22" s="11">
        <v>714157</v>
      </c>
      <c r="P22" s="37">
        <f t="shared" si="1"/>
        <v>0.37550924475086178</v>
      </c>
    </row>
    <row r="23" spans="1:16" x14ac:dyDescent="0.25">
      <c r="A23" s="6" t="s">
        <v>24</v>
      </c>
      <c r="B23" s="6" t="s">
        <v>57</v>
      </c>
      <c r="C23" s="6" t="s">
        <v>16</v>
      </c>
      <c r="D23" s="6" t="s">
        <v>22</v>
      </c>
      <c r="E23" s="6" t="s">
        <v>18</v>
      </c>
      <c r="F23" s="7">
        <v>42216</v>
      </c>
      <c r="G23" s="8">
        <f t="shared" si="0"/>
        <v>2015</v>
      </c>
      <c r="H23" s="9">
        <v>860673511</v>
      </c>
      <c r="I23" s="7">
        <v>42250</v>
      </c>
      <c r="J23" s="10">
        <v>1273</v>
      </c>
      <c r="K23" s="9">
        <v>255.28</v>
      </c>
      <c r="L23" s="9">
        <v>159.41999999999999</v>
      </c>
      <c r="M23" s="11">
        <v>324971.44</v>
      </c>
      <c r="N23" s="11">
        <v>202941.66</v>
      </c>
      <c r="O23" s="11">
        <v>122029.78</v>
      </c>
      <c r="P23" s="37">
        <f t="shared" si="1"/>
        <v>0.37550924475086178</v>
      </c>
    </row>
    <row r="24" spans="1:16" x14ac:dyDescent="0.25">
      <c r="A24" s="6" t="s">
        <v>19</v>
      </c>
      <c r="B24" s="6" t="s">
        <v>46</v>
      </c>
      <c r="C24" s="6" t="s">
        <v>58</v>
      </c>
      <c r="D24" s="6" t="s">
        <v>22</v>
      </c>
      <c r="E24" s="6" t="s">
        <v>27</v>
      </c>
      <c r="F24" s="7">
        <v>42551</v>
      </c>
      <c r="G24" s="8">
        <f t="shared" si="0"/>
        <v>2016</v>
      </c>
      <c r="H24" s="9">
        <v>795490682</v>
      </c>
      <c r="I24" s="7">
        <v>42577</v>
      </c>
      <c r="J24" s="10">
        <v>2225</v>
      </c>
      <c r="K24" s="9">
        <v>152.58000000000001</v>
      </c>
      <c r="L24" s="9">
        <v>97.44</v>
      </c>
      <c r="M24" s="11">
        <v>339490.5</v>
      </c>
      <c r="N24" s="11">
        <v>216804</v>
      </c>
      <c r="O24" s="11">
        <v>122686.5</v>
      </c>
      <c r="P24" s="37">
        <f t="shared" si="1"/>
        <v>0.36138419189933152</v>
      </c>
    </row>
    <row r="25" spans="1:16" x14ac:dyDescent="0.25">
      <c r="A25" s="6" t="s">
        <v>14</v>
      </c>
      <c r="B25" s="6" t="s">
        <v>59</v>
      </c>
      <c r="C25" s="6" t="s">
        <v>30</v>
      </c>
      <c r="D25" s="6" t="s">
        <v>22</v>
      </c>
      <c r="E25" s="6" t="s">
        <v>18</v>
      </c>
      <c r="F25" s="7">
        <v>41890</v>
      </c>
      <c r="G25" s="8">
        <f t="shared" si="0"/>
        <v>2014</v>
      </c>
      <c r="H25" s="9">
        <v>142278373</v>
      </c>
      <c r="I25" s="7">
        <v>41916</v>
      </c>
      <c r="J25" s="10">
        <v>2187</v>
      </c>
      <c r="K25" s="9">
        <v>9.33</v>
      </c>
      <c r="L25" s="9">
        <v>6.92</v>
      </c>
      <c r="M25" s="11">
        <v>20404.71</v>
      </c>
      <c r="N25" s="11">
        <v>15134.04</v>
      </c>
      <c r="O25" s="11">
        <v>5270.67</v>
      </c>
      <c r="P25" s="37">
        <f t="shared" si="1"/>
        <v>0.25830653804930331</v>
      </c>
    </row>
    <row r="26" spans="1:16" x14ac:dyDescent="0.25">
      <c r="A26" s="6" t="s">
        <v>24</v>
      </c>
      <c r="B26" s="6" t="s">
        <v>60</v>
      </c>
      <c r="C26" s="6" t="s">
        <v>39</v>
      </c>
      <c r="D26" s="6" t="s">
        <v>22</v>
      </c>
      <c r="E26" s="6" t="s">
        <v>27</v>
      </c>
      <c r="F26" s="7">
        <v>42497</v>
      </c>
      <c r="G26" s="8">
        <f t="shared" si="0"/>
        <v>2016</v>
      </c>
      <c r="H26" s="9">
        <v>740147912</v>
      </c>
      <c r="I26" s="7">
        <v>42500</v>
      </c>
      <c r="J26" s="10">
        <v>5070</v>
      </c>
      <c r="K26" s="9">
        <v>81.73</v>
      </c>
      <c r="L26" s="9">
        <v>56.67</v>
      </c>
      <c r="M26" s="11">
        <v>414371.1</v>
      </c>
      <c r="N26" s="11">
        <v>287316.90000000002</v>
      </c>
      <c r="O26" s="11">
        <v>127054.2</v>
      </c>
      <c r="P26" s="37">
        <f t="shared" si="1"/>
        <v>0.30661935641747218</v>
      </c>
    </row>
    <row r="27" spans="1:16" x14ac:dyDescent="0.25">
      <c r="A27" s="6" t="s">
        <v>24</v>
      </c>
      <c r="B27" s="6" t="s">
        <v>61</v>
      </c>
      <c r="C27" s="6" t="s">
        <v>50</v>
      </c>
      <c r="D27" s="6" t="s">
        <v>22</v>
      </c>
      <c r="E27" s="6" t="s">
        <v>18</v>
      </c>
      <c r="F27" s="7">
        <v>42877</v>
      </c>
      <c r="G27" s="8">
        <f t="shared" si="0"/>
        <v>2017</v>
      </c>
      <c r="H27" s="9">
        <v>898523128</v>
      </c>
      <c r="I27" s="7">
        <v>42891</v>
      </c>
      <c r="J27" s="10">
        <v>1815</v>
      </c>
      <c r="K27" s="9">
        <v>437.2</v>
      </c>
      <c r="L27" s="9">
        <v>263.33</v>
      </c>
      <c r="M27" s="11">
        <v>793518</v>
      </c>
      <c r="N27" s="11">
        <v>477943.95</v>
      </c>
      <c r="O27" s="11">
        <v>315574.05</v>
      </c>
      <c r="P27" s="37">
        <f t="shared" si="1"/>
        <v>0.39768984446477584</v>
      </c>
    </row>
    <row r="28" spans="1:16" x14ac:dyDescent="0.25">
      <c r="A28" s="6" t="s">
        <v>14</v>
      </c>
      <c r="B28" s="6" t="s">
        <v>62</v>
      </c>
      <c r="C28" s="6" t="s">
        <v>30</v>
      </c>
      <c r="D28" s="6" t="s">
        <v>22</v>
      </c>
      <c r="E28" s="6" t="s">
        <v>35</v>
      </c>
      <c r="F28" s="7">
        <v>41925</v>
      </c>
      <c r="G28" s="8">
        <f t="shared" si="0"/>
        <v>2014</v>
      </c>
      <c r="H28" s="9">
        <v>347140347</v>
      </c>
      <c r="I28" s="7">
        <v>41953</v>
      </c>
      <c r="J28" s="10">
        <v>5398</v>
      </c>
      <c r="K28" s="9">
        <v>9.33</v>
      </c>
      <c r="L28" s="9">
        <v>6.92</v>
      </c>
      <c r="M28" s="11">
        <v>50363.34</v>
      </c>
      <c r="N28" s="11">
        <v>37354.160000000003</v>
      </c>
      <c r="O28" s="11">
        <v>13009.18</v>
      </c>
      <c r="P28" s="37">
        <f t="shared" si="1"/>
        <v>0.25830653804930337</v>
      </c>
    </row>
    <row r="29" spans="1:16" x14ac:dyDescent="0.25">
      <c r="A29" s="6" t="s">
        <v>28</v>
      </c>
      <c r="B29" s="6" t="s">
        <v>63</v>
      </c>
      <c r="C29" s="6" t="s">
        <v>30</v>
      </c>
      <c r="D29" s="6" t="s">
        <v>22</v>
      </c>
      <c r="E29" s="6" t="s">
        <v>27</v>
      </c>
      <c r="F29" s="7">
        <v>40305</v>
      </c>
      <c r="G29" s="8">
        <f t="shared" si="0"/>
        <v>2010</v>
      </c>
      <c r="H29" s="9">
        <v>686048400</v>
      </c>
      <c r="I29" s="7">
        <v>40308</v>
      </c>
      <c r="J29" s="10">
        <v>5822</v>
      </c>
      <c r="K29" s="9">
        <v>9.33</v>
      </c>
      <c r="L29" s="9">
        <v>6.92</v>
      </c>
      <c r="M29" s="11">
        <v>54319.26</v>
      </c>
      <c r="N29" s="11">
        <v>40288.239999999998</v>
      </c>
      <c r="O29" s="11">
        <v>14031.02</v>
      </c>
      <c r="P29" s="37">
        <f t="shared" si="1"/>
        <v>0.25830653804930331</v>
      </c>
    </row>
    <row r="30" spans="1:16" x14ac:dyDescent="0.25">
      <c r="A30" s="6" t="s">
        <v>24</v>
      </c>
      <c r="B30" s="6" t="s">
        <v>56</v>
      </c>
      <c r="C30" s="6" t="s">
        <v>52</v>
      </c>
      <c r="D30" s="6" t="s">
        <v>17</v>
      </c>
      <c r="E30" s="6" t="s">
        <v>23</v>
      </c>
      <c r="F30" s="7">
        <v>41838</v>
      </c>
      <c r="G30" s="8">
        <f t="shared" si="0"/>
        <v>2014</v>
      </c>
      <c r="H30" s="9">
        <v>435608613</v>
      </c>
      <c r="I30" s="7">
        <v>41850</v>
      </c>
      <c r="J30" s="10">
        <v>5124</v>
      </c>
      <c r="K30" s="9">
        <v>47.45</v>
      </c>
      <c r="L30" s="9">
        <v>31.79</v>
      </c>
      <c r="M30" s="11">
        <v>243133.8</v>
      </c>
      <c r="N30" s="11">
        <v>162891.96</v>
      </c>
      <c r="O30" s="11">
        <v>80241.84</v>
      </c>
      <c r="P30" s="37">
        <f t="shared" si="1"/>
        <v>0.33003161222339306</v>
      </c>
    </row>
    <row r="31" spans="1:16" x14ac:dyDescent="0.25">
      <c r="A31" s="6" t="s">
        <v>28</v>
      </c>
      <c r="B31" s="6" t="s">
        <v>64</v>
      </c>
      <c r="C31" s="6" t="s">
        <v>34</v>
      </c>
      <c r="D31" s="6" t="s">
        <v>17</v>
      </c>
      <c r="E31" s="6" t="s">
        <v>27</v>
      </c>
      <c r="F31" s="7">
        <v>41055</v>
      </c>
      <c r="G31" s="8">
        <f t="shared" si="0"/>
        <v>2012</v>
      </c>
      <c r="H31" s="9">
        <v>886494815</v>
      </c>
      <c r="I31" s="7">
        <v>41069</v>
      </c>
      <c r="J31" s="10">
        <v>2370</v>
      </c>
      <c r="K31" s="9">
        <v>668.27</v>
      </c>
      <c r="L31" s="9">
        <v>502.54</v>
      </c>
      <c r="M31" s="11">
        <v>1583799.9</v>
      </c>
      <c r="N31" s="11">
        <v>1191019.8</v>
      </c>
      <c r="O31" s="11">
        <v>392780.1</v>
      </c>
      <c r="P31" s="37">
        <f t="shared" si="1"/>
        <v>0.24799856345489099</v>
      </c>
    </row>
    <row r="32" spans="1:16" x14ac:dyDescent="0.25">
      <c r="A32" s="6" t="s">
        <v>24</v>
      </c>
      <c r="B32" s="6" t="s">
        <v>65</v>
      </c>
      <c r="C32" s="6" t="s">
        <v>50</v>
      </c>
      <c r="D32" s="6" t="s">
        <v>17</v>
      </c>
      <c r="E32" s="6" t="s">
        <v>35</v>
      </c>
      <c r="F32" s="7">
        <v>41169</v>
      </c>
      <c r="G32" s="8">
        <f t="shared" si="0"/>
        <v>2012</v>
      </c>
      <c r="H32" s="9">
        <v>249693334</v>
      </c>
      <c r="I32" s="7">
        <v>41202</v>
      </c>
      <c r="J32" s="10">
        <v>8661</v>
      </c>
      <c r="K32" s="9">
        <v>437.2</v>
      </c>
      <c r="L32" s="9">
        <v>263.33</v>
      </c>
      <c r="M32" s="11">
        <v>3786589.2</v>
      </c>
      <c r="N32" s="11">
        <v>2280701.13</v>
      </c>
      <c r="O32" s="11">
        <v>1505888.07</v>
      </c>
      <c r="P32" s="37">
        <f t="shared" si="1"/>
        <v>0.39768984446477584</v>
      </c>
    </row>
    <row r="33" spans="1:16" x14ac:dyDescent="0.25">
      <c r="A33" s="6" t="s">
        <v>28</v>
      </c>
      <c r="B33" s="6" t="s">
        <v>66</v>
      </c>
      <c r="C33" s="6" t="s">
        <v>39</v>
      </c>
      <c r="D33" s="6" t="s">
        <v>17</v>
      </c>
      <c r="E33" s="6" t="s">
        <v>23</v>
      </c>
      <c r="F33" s="7">
        <v>41637</v>
      </c>
      <c r="G33" s="8">
        <f t="shared" si="0"/>
        <v>2013</v>
      </c>
      <c r="H33" s="9">
        <v>406502997</v>
      </c>
      <c r="I33" s="7">
        <v>41667</v>
      </c>
      <c r="J33" s="10">
        <v>2125</v>
      </c>
      <c r="K33" s="9">
        <v>81.73</v>
      </c>
      <c r="L33" s="9">
        <v>56.67</v>
      </c>
      <c r="M33" s="11">
        <v>173676.25</v>
      </c>
      <c r="N33" s="11">
        <v>120423.75</v>
      </c>
      <c r="O33" s="11">
        <v>53252.5</v>
      </c>
      <c r="P33" s="37">
        <f t="shared" si="1"/>
        <v>0.30661935641747218</v>
      </c>
    </row>
    <row r="34" spans="1:16" x14ac:dyDescent="0.25">
      <c r="A34" s="6" t="s">
        <v>14</v>
      </c>
      <c r="B34" s="6" t="s">
        <v>67</v>
      </c>
      <c r="C34" s="6" t="s">
        <v>26</v>
      </c>
      <c r="D34" s="6" t="s">
        <v>22</v>
      </c>
      <c r="E34" s="6" t="s">
        <v>23</v>
      </c>
      <c r="F34" s="7">
        <v>42304</v>
      </c>
      <c r="G34" s="8">
        <f t="shared" si="0"/>
        <v>2015</v>
      </c>
      <c r="H34" s="9">
        <v>158535134</v>
      </c>
      <c r="I34" s="7">
        <v>42333</v>
      </c>
      <c r="J34" s="10">
        <v>2924</v>
      </c>
      <c r="K34" s="9">
        <v>651.21</v>
      </c>
      <c r="L34" s="9">
        <v>524.96</v>
      </c>
      <c r="M34" s="11">
        <v>1904138.04</v>
      </c>
      <c r="N34" s="11">
        <v>1534983.04</v>
      </c>
      <c r="O34" s="11">
        <v>369155</v>
      </c>
      <c r="P34" s="37">
        <f t="shared" si="1"/>
        <v>0.19386987300563566</v>
      </c>
    </row>
    <row r="35" spans="1:16" x14ac:dyDescent="0.25">
      <c r="A35" s="6" t="s">
        <v>41</v>
      </c>
      <c r="B35" s="6" t="s">
        <v>68</v>
      </c>
      <c r="C35" s="6" t="s">
        <v>34</v>
      </c>
      <c r="D35" s="6" t="s">
        <v>17</v>
      </c>
      <c r="E35" s="6" t="s">
        <v>18</v>
      </c>
      <c r="F35" s="7">
        <v>42020</v>
      </c>
      <c r="G35" s="8">
        <f t="shared" si="0"/>
        <v>2015</v>
      </c>
      <c r="H35" s="9">
        <v>177713572</v>
      </c>
      <c r="I35" s="7">
        <v>42064</v>
      </c>
      <c r="J35" s="10">
        <v>8250</v>
      </c>
      <c r="K35" s="9">
        <v>668.27</v>
      </c>
      <c r="L35" s="9">
        <v>502.54</v>
      </c>
      <c r="M35" s="11">
        <v>5513227.5</v>
      </c>
      <c r="N35" s="11">
        <v>4145955</v>
      </c>
      <c r="O35" s="11">
        <v>1367272.5</v>
      </c>
      <c r="P35" s="37">
        <f t="shared" si="1"/>
        <v>0.24799856345489099</v>
      </c>
    </row>
    <row r="36" spans="1:16" x14ac:dyDescent="0.25">
      <c r="A36" s="6" t="s">
        <v>28</v>
      </c>
      <c r="B36" s="6" t="s">
        <v>69</v>
      </c>
      <c r="C36" s="6" t="s">
        <v>58</v>
      </c>
      <c r="D36" s="6" t="s">
        <v>22</v>
      </c>
      <c r="E36" s="6" t="s">
        <v>35</v>
      </c>
      <c r="F36" s="7">
        <v>42791</v>
      </c>
      <c r="G36" s="8">
        <f t="shared" si="0"/>
        <v>2017</v>
      </c>
      <c r="H36" s="9">
        <v>756274640</v>
      </c>
      <c r="I36" s="7">
        <v>42791</v>
      </c>
      <c r="J36" s="10">
        <v>7327</v>
      </c>
      <c r="K36" s="9">
        <v>152.58000000000001</v>
      </c>
      <c r="L36" s="9">
        <v>97.44</v>
      </c>
      <c r="M36" s="11">
        <v>1117953.6599999999</v>
      </c>
      <c r="N36" s="11">
        <v>713942.88</v>
      </c>
      <c r="O36" s="11">
        <v>404010.78</v>
      </c>
      <c r="P36" s="37">
        <f t="shared" si="1"/>
        <v>0.36138419189933157</v>
      </c>
    </row>
    <row r="37" spans="1:16" x14ac:dyDescent="0.25">
      <c r="A37" s="6" t="s">
        <v>19</v>
      </c>
      <c r="B37" s="6" t="s">
        <v>70</v>
      </c>
      <c r="C37" s="6" t="s">
        <v>39</v>
      </c>
      <c r="D37" s="6" t="s">
        <v>17</v>
      </c>
      <c r="E37" s="6" t="s">
        <v>27</v>
      </c>
      <c r="F37" s="7">
        <v>42863</v>
      </c>
      <c r="G37" s="8">
        <f t="shared" si="0"/>
        <v>2017</v>
      </c>
      <c r="H37" s="9">
        <v>456767165</v>
      </c>
      <c r="I37" s="7">
        <v>42876</v>
      </c>
      <c r="J37" s="10">
        <v>6409</v>
      </c>
      <c r="K37" s="9">
        <v>81.73</v>
      </c>
      <c r="L37" s="9">
        <v>56.67</v>
      </c>
      <c r="M37" s="11">
        <v>523807.57</v>
      </c>
      <c r="N37" s="11">
        <v>363198.03</v>
      </c>
      <c r="O37" s="11">
        <v>160609.54</v>
      </c>
      <c r="P37" s="37">
        <f t="shared" si="1"/>
        <v>0.30661935641747218</v>
      </c>
    </row>
    <row r="38" spans="1:16" x14ac:dyDescent="0.25">
      <c r="A38" s="6" t="s">
        <v>71</v>
      </c>
      <c r="B38" s="6" t="s">
        <v>72</v>
      </c>
      <c r="C38" s="6" t="s">
        <v>30</v>
      </c>
      <c r="D38" s="6" t="s">
        <v>22</v>
      </c>
      <c r="E38" s="6" t="s">
        <v>27</v>
      </c>
      <c r="F38" s="7">
        <v>40869</v>
      </c>
      <c r="G38" s="8">
        <f t="shared" si="0"/>
        <v>2011</v>
      </c>
      <c r="H38" s="9">
        <v>162052476</v>
      </c>
      <c r="I38" s="7">
        <v>40880</v>
      </c>
      <c r="J38" s="10">
        <v>3784</v>
      </c>
      <c r="K38" s="9">
        <v>9.33</v>
      </c>
      <c r="L38" s="9">
        <v>6.92</v>
      </c>
      <c r="M38" s="11">
        <v>35304.720000000001</v>
      </c>
      <c r="N38" s="11">
        <v>26185.279999999999</v>
      </c>
      <c r="O38" s="11">
        <v>9119.44</v>
      </c>
      <c r="P38" s="37">
        <f t="shared" si="1"/>
        <v>0.25830653804930331</v>
      </c>
    </row>
    <row r="39" spans="1:16" x14ac:dyDescent="0.25">
      <c r="A39" s="6" t="s">
        <v>28</v>
      </c>
      <c r="B39" s="6" t="s">
        <v>64</v>
      </c>
      <c r="C39" s="6" t="s">
        <v>55</v>
      </c>
      <c r="D39" s="6" t="s">
        <v>22</v>
      </c>
      <c r="E39" s="6" t="s">
        <v>35</v>
      </c>
      <c r="F39" s="7">
        <v>42749</v>
      </c>
      <c r="G39" s="8">
        <f t="shared" si="0"/>
        <v>2017</v>
      </c>
      <c r="H39" s="9">
        <v>825304400</v>
      </c>
      <c r="I39" s="7">
        <v>42758</v>
      </c>
      <c r="J39" s="10">
        <v>4767</v>
      </c>
      <c r="K39" s="9">
        <v>421.89</v>
      </c>
      <c r="L39" s="9">
        <v>364.69</v>
      </c>
      <c r="M39" s="11">
        <v>2011149.63</v>
      </c>
      <c r="N39" s="11">
        <v>1738477.23</v>
      </c>
      <c r="O39" s="11">
        <v>272672.40000000002</v>
      </c>
      <c r="P39" s="37">
        <f t="shared" si="1"/>
        <v>0.13558036455000119</v>
      </c>
    </row>
    <row r="40" spans="1:16" x14ac:dyDescent="0.25">
      <c r="A40" s="6" t="s">
        <v>41</v>
      </c>
      <c r="B40" s="6" t="s">
        <v>73</v>
      </c>
      <c r="C40" s="6" t="s">
        <v>26</v>
      </c>
      <c r="D40" s="6" t="s">
        <v>22</v>
      </c>
      <c r="E40" s="6" t="s">
        <v>27</v>
      </c>
      <c r="F40" s="7">
        <v>41000</v>
      </c>
      <c r="G40" s="8">
        <f t="shared" si="0"/>
        <v>2012</v>
      </c>
      <c r="H40" s="9">
        <v>320009267</v>
      </c>
      <c r="I40" s="7">
        <v>41037</v>
      </c>
      <c r="J40" s="10">
        <v>6708</v>
      </c>
      <c r="K40" s="9">
        <v>651.21</v>
      </c>
      <c r="L40" s="9">
        <v>524.96</v>
      </c>
      <c r="M40" s="11">
        <v>4368316.68</v>
      </c>
      <c r="N40" s="11">
        <v>3521431.68</v>
      </c>
      <c r="O40" s="11">
        <v>846885</v>
      </c>
      <c r="P40" s="37">
        <f t="shared" si="1"/>
        <v>0.19386987300563568</v>
      </c>
    </row>
    <row r="41" spans="1:16" x14ac:dyDescent="0.25">
      <c r="A41" s="6" t="s">
        <v>24</v>
      </c>
      <c r="B41" s="6" t="s">
        <v>48</v>
      </c>
      <c r="C41" s="6" t="s">
        <v>26</v>
      </c>
      <c r="D41" s="6" t="s">
        <v>22</v>
      </c>
      <c r="E41" s="6" t="s">
        <v>35</v>
      </c>
      <c r="F41" s="7">
        <v>40955</v>
      </c>
      <c r="G41" s="8">
        <f t="shared" si="0"/>
        <v>2012</v>
      </c>
      <c r="H41" s="9">
        <v>189965903</v>
      </c>
      <c r="I41" s="7">
        <v>40967</v>
      </c>
      <c r="J41" s="10">
        <v>3987</v>
      </c>
      <c r="K41" s="9">
        <v>651.21</v>
      </c>
      <c r="L41" s="9">
        <v>524.96</v>
      </c>
      <c r="M41" s="11">
        <v>2596374.27</v>
      </c>
      <c r="N41" s="11">
        <v>2093015.52</v>
      </c>
      <c r="O41" s="11">
        <v>503358.75</v>
      </c>
      <c r="P41" s="37">
        <f t="shared" si="1"/>
        <v>0.19386987300563566</v>
      </c>
    </row>
    <row r="42" spans="1:16" x14ac:dyDescent="0.25">
      <c r="A42" s="6" t="s">
        <v>28</v>
      </c>
      <c r="B42" s="6" t="s">
        <v>74</v>
      </c>
      <c r="C42" s="6" t="s">
        <v>39</v>
      </c>
      <c r="D42" s="6" t="s">
        <v>22</v>
      </c>
      <c r="E42" s="6" t="s">
        <v>18</v>
      </c>
      <c r="F42" s="7">
        <v>42805</v>
      </c>
      <c r="G42" s="8">
        <f t="shared" si="0"/>
        <v>2017</v>
      </c>
      <c r="H42" s="9">
        <v>699285638</v>
      </c>
      <c r="I42" s="7">
        <v>42822</v>
      </c>
      <c r="J42" s="10">
        <v>3015</v>
      </c>
      <c r="K42" s="9">
        <v>81.73</v>
      </c>
      <c r="L42" s="9">
        <v>56.67</v>
      </c>
      <c r="M42" s="11">
        <v>246415.95</v>
      </c>
      <c r="N42" s="11">
        <v>170860.05</v>
      </c>
      <c r="O42" s="11">
        <v>75555.899999999994</v>
      </c>
      <c r="P42" s="37">
        <f t="shared" si="1"/>
        <v>0.30661935641747212</v>
      </c>
    </row>
    <row r="43" spans="1:16" x14ac:dyDescent="0.25">
      <c r="A43" s="6" t="s">
        <v>71</v>
      </c>
      <c r="B43" s="6" t="s">
        <v>75</v>
      </c>
      <c r="C43" s="6" t="s">
        <v>50</v>
      </c>
      <c r="D43" s="6" t="s">
        <v>22</v>
      </c>
      <c r="E43" s="6" t="s">
        <v>35</v>
      </c>
      <c r="F43" s="7">
        <v>40215</v>
      </c>
      <c r="G43" s="8">
        <f t="shared" si="0"/>
        <v>2010</v>
      </c>
      <c r="H43" s="9">
        <v>382392299</v>
      </c>
      <c r="I43" s="7">
        <v>40234</v>
      </c>
      <c r="J43" s="10">
        <v>7234</v>
      </c>
      <c r="K43" s="9">
        <v>437.2</v>
      </c>
      <c r="L43" s="9">
        <v>263.33</v>
      </c>
      <c r="M43" s="11">
        <v>3162704.8</v>
      </c>
      <c r="N43" s="11">
        <v>1904929.22</v>
      </c>
      <c r="O43" s="11">
        <v>1257775.58</v>
      </c>
      <c r="P43" s="37">
        <f t="shared" si="1"/>
        <v>0.3976898444647759</v>
      </c>
    </row>
    <row r="44" spans="1:16" x14ac:dyDescent="0.25">
      <c r="A44" s="6" t="s">
        <v>28</v>
      </c>
      <c r="B44" s="6" t="s">
        <v>64</v>
      </c>
      <c r="C44" s="6" t="s">
        <v>21</v>
      </c>
      <c r="D44" s="6" t="s">
        <v>17</v>
      </c>
      <c r="E44" s="6" t="s">
        <v>18</v>
      </c>
      <c r="F44" s="7">
        <v>41067</v>
      </c>
      <c r="G44" s="8">
        <f t="shared" si="0"/>
        <v>2012</v>
      </c>
      <c r="H44" s="9">
        <v>994022214</v>
      </c>
      <c r="I44" s="7">
        <v>41068</v>
      </c>
      <c r="J44" s="10">
        <v>2117</v>
      </c>
      <c r="K44" s="9">
        <v>205.7</v>
      </c>
      <c r="L44" s="9">
        <v>117.11</v>
      </c>
      <c r="M44" s="11">
        <v>435466.9</v>
      </c>
      <c r="N44" s="11">
        <v>247921.87</v>
      </c>
      <c r="O44" s="11">
        <v>187545.03</v>
      </c>
      <c r="P44" s="37">
        <f t="shared" si="1"/>
        <v>0.43067574137092851</v>
      </c>
    </row>
    <row r="45" spans="1:16" x14ac:dyDescent="0.25">
      <c r="A45" s="6" t="s">
        <v>24</v>
      </c>
      <c r="B45" s="6" t="s">
        <v>76</v>
      </c>
      <c r="C45" s="6" t="s">
        <v>37</v>
      </c>
      <c r="D45" s="6" t="s">
        <v>22</v>
      </c>
      <c r="E45" s="6" t="s">
        <v>18</v>
      </c>
      <c r="F45" s="7">
        <v>41188</v>
      </c>
      <c r="G45" s="8">
        <f t="shared" si="0"/>
        <v>2012</v>
      </c>
      <c r="H45" s="9">
        <v>759224212</v>
      </c>
      <c r="I45" s="7">
        <v>41223</v>
      </c>
      <c r="J45" s="10">
        <v>171</v>
      </c>
      <c r="K45" s="9">
        <v>154.06</v>
      </c>
      <c r="L45" s="9">
        <v>90.93</v>
      </c>
      <c r="M45" s="11">
        <v>26344.26</v>
      </c>
      <c r="N45" s="11">
        <v>15549.03</v>
      </c>
      <c r="O45" s="11">
        <v>10795.23</v>
      </c>
      <c r="P45" s="37">
        <f t="shared" si="1"/>
        <v>0.40977541217707386</v>
      </c>
    </row>
    <row r="46" spans="1:16" x14ac:dyDescent="0.25">
      <c r="A46" s="6" t="s">
        <v>41</v>
      </c>
      <c r="B46" s="6" t="s">
        <v>68</v>
      </c>
      <c r="C46" s="6" t="s">
        <v>44</v>
      </c>
      <c r="D46" s="6" t="s">
        <v>22</v>
      </c>
      <c r="E46" s="6" t="s">
        <v>18</v>
      </c>
      <c r="F46" s="7">
        <v>42322</v>
      </c>
      <c r="G46" s="8">
        <f t="shared" si="0"/>
        <v>2015</v>
      </c>
      <c r="H46" s="9">
        <v>223359620</v>
      </c>
      <c r="I46" s="7">
        <v>42326</v>
      </c>
      <c r="J46" s="10">
        <v>5930</v>
      </c>
      <c r="K46" s="9">
        <v>109.28</v>
      </c>
      <c r="L46" s="9">
        <v>35.840000000000003</v>
      </c>
      <c r="M46" s="11">
        <v>648030.4</v>
      </c>
      <c r="N46" s="11">
        <v>212531.20000000001</v>
      </c>
      <c r="O46" s="11">
        <v>435499.2</v>
      </c>
      <c r="P46" s="37">
        <f t="shared" si="1"/>
        <v>0.67203513909224011</v>
      </c>
    </row>
    <row r="47" spans="1:16" x14ac:dyDescent="0.25">
      <c r="A47" s="6" t="s">
        <v>28</v>
      </c>
      <c r="B47" s="6" t="s">
        <v>77</v>
      </c>
      <c r="C47" s="6" t="s">
        <v>21</v>
      </c>
      <c r="D47" s="6" t="s">
        <v>17</v>
      </c>
      <c r="E47" s="6" t="s">
        <v>18</v>
      </c>
      <c r="F47" s="7">
        <v>42458</v>
      </c>
      <c r="G47" s="8">
        <f t="shared" si="0"/>
        <v>2016</v>
      </c>
      <c r="H47" s="9">
        <v>902102267</v>
      </c>
      <c r="I47" s="7">
        <v>42489</v>
      </c>
      <c r="J47" s="10">
        <v>962</v>
      </c>
      <c r="K47" s="9">
        <v>205.7</v>
      </c>
      <c r="L47" s="9">
        <v>117.11</v>
      </c>
      <c r="M47" s="11">
        <v>197883.4</v>
      </c>
      <c r="N47" s="11">
        <v>112659.82</v>
      </c>
      <c r="O47" s="11">
        <v>85223.58</v>
      </c>
      <c r="P47" s="37">
        <f t="shared" si="1"/>
        <v>0.43067574137092857</v>
      </c>
    </row>
    <row r="48" spans="1:16" x14ac:dyDescent="0.25">
      <c r="A48" s="6" t="s">
        <v>24</v>
      </c>
      <c r="B48" s="6" t="s">
        <v>78</v>
      </c>
      <c r="C48" s="6" t="s">
        <v>50</v>
      </c>
      <c r="D48" s="6" t="s">
        <v>22</v>
      </c>
      <c r="E48" s="6" t="s">
        <v>23</v>
      </c>
      <c r="F48" s="7">
        <v>42735</v>
      </c>
      <c r="G48" s="8">
        <f t="shared" si="0"/>
        <v>2016</v>
      </c>
      <c r="H48" s="9">
        <v>331438481</v>
      </c>
      <c r="I48" s="7">
        <v>42735</v>
      </c>
      <c r="J48" s="10">
        <v>8867</v>
      </c>
      <c r="K48" s="9">
        <v>437.2</v>
      </c>
      <c r="L48" s="9">
        <v>263.33</v>
      </c>
      <c r="M48" s="11">
        <v>3876652.4</v>
      </c>
      <c r="N48" s="11">
        <v>2334947.11</v>
      </c>
      <c r="O48" s="11">
        <v>1541705.29</v>
      </c>
      <c r="P48" s="37">
        <f t="shared" si="1"/>
        <v>0.39768984446477584</v>
      </c>
    </row>
    <row r="49" spans="1:16" x14ac:dyDescent="0.25">
      <c r="A49" s="6" t="s">
        <v>24</v>
      </c>
      <c r="B49" s="6" t="s">
        <v>65</v>
      </c>
      <c r="C49" s="6" t="s">
        <v>39</v>
      </c>
      <c r="D49" s="6" t="s">
        <v>22</v>
      </c>
      <c r="E49" s="6" t="s">
        <v>35</v>
      </c>
      <c r="F49" s="7">
        <v>40535</v>
      </c>
      <c r="G49" s="8">
        <f t="shared" si="0"/>
        <v>2010</v>
      </c>
      <c r="H49" s="9">
        <v>617667090</v>
      </c>
      <c r="I49" s="7">
        <v>40574</v>
      </c>
      <c r="J49" s="10">
        <v>273</v>
      </c>
      <c r="K49" s="9">
        <v>81.73</v>
      </c>
      <c r="L49" s="9">
        <v>56.67</v>
      </c>
      <c r="M49" s="11">
        <v>22312.29</v>
      </c>
      <c r="N49" s="11">
        <v>15470.91</v>
      </c>
      <c r="O49" s="11">
        <v>6841.38</v>
      </c>
      <c r="P49" s="37">
        <f t="shared" si="1"/>
        <v>0.30661935641747218</v>
      </c>
    </row>
    <row r="50" spans="1:16" x14ac:dyDescent="0.25">
      <c r="A50" s="6" t="s">
        <v>24</v>
      </c>
      <c r="B50" s="6" t="s">
        <v>79</v>
      </c>
      <c r="C50" s="6" t="s">
        <v>44</v>
      </c>
      <c r="D50" s="6" t="s">
        <v>17</v>
      </c>
      <c r="E50" s="6" t="s">
        <v>23</v>
      </c>
      <c r="F50" s="7">
        <v>41926</v>
      </c>
      <c r="G50" s="8">
        <f t="shared" si="0"/>
        <v>2014</v>
      </c>
      <c r="H50" s="9">
        <v>787399423</v>
      </c>
      <c r="I50" s="7">
        <v>41957</v>
      </c>
      <c r="J50" s="10">
        <v>7842</v>
      </c>
      <c r="K50" s="9">
        <v>109.28</v>
      </c>
      <c r="L50" s="9">
        <v>35.840000000000003</v>
      </c>
      <c r="M50" s="11">
        <v>856973.76</v>
      </c>
      <c r="N50" s="11">
        <v>281057.28000000003</v>
      </c>
      <c r="O50" s="11">
        <v>575916.48</v>
      </c>
      <c r="P50" s="37">
        <f t="shared" si="1"/>
        <v>0.67203513909224011</v>
      </c>
    </row>
    <row r="51" spans="1:16" x14ac:dyDescent="0.25">
      <c r="A51" s="6" t="s">
        <v>28</v>
      </c>
      <c r="B51" s="6" t="s">
        <v>80</v>
      </c>
      <c r="C51" s="6" t="s">
        <v>26</v>
      </c>
      <c r="D51" s="6" t="s">
        <v>17</v>
      </c>
      <c r="E51" s="6" t="s">
        <v>23</v>
      </c>
      <c r="F51" s="7">
        <v>40919</v>
      </c>
      <c r="G51" s="8">
        <f t="shared" si="0"/>
        <v>2012</v>
      </c>
      <c r="H51" s="9">
        <v>837559306</v>
      </c>
      <c r="I51" s="7">
        <v>40921</v>
      </c>
      <c r="J51" s="10">
        <v>1266</v>
      </c>
      <c r="K51" s="9">
        <v>651.21</v>
      </c>
      <c r="L51" s="9">
        <v>524.96</v>
      </c>
      <c r="M51" s="11">
        <v>824431.86</v>
      </c>
      <c r="N51" s="11">
        <v>664599.36</v>
      </c>
      <c r="O51" s="11">
        <v>159832.5</v>
      </c>
      <c r="P51" s="37">
        <f t="shared" si="1"/>
        <v>0.19386987300563566</v>
      </c>
    </row>
    <row r="52" spans="1:16" x14ac:dyDescent="0.25">
      <c r="A52" s="6" t="s">
        <v>24</v>
      </c>
      <c r="B52" s="6" t="s">
        <v>81</v>
      </c>
      <c r="C52" s="6" t="s">
        <v>44</v>
      </c>
      <c r="D52" s="6" t="s">
        <v>22</v>
      </c>
      <c r="E52" s="6" t="s">
        <v>23</v>
      </c>
      <c r="F52" s="7">
        <v>40211</v>
      </c>
      <c r="G52" s="8">
        <f t="shared" si="0"/>
        <v>2010</v>
      </c>
      <c r="H52" s="9">
        <v>385383069</v>
      </c>
      <c r="I52" s="7">
        <v>40255</v>
      </c>
      <c r="J52" s="10">
        <v>2269</v>
      </c>
      <c r="K52" s="9">
        <v>109.28</v>
      </c>
      <c r="L52" s="9">
        <v>35.840000000000003</v>
      </c>
      <c r="M52" s="11">
        <v>247956.32</v>
      </c>
      <c r="N52" s="11">
        <v>81320.960000000006</v>
      </c>
      <c r="O52" s="11">
        <v>166635.35999999999</v>
      </c>
      <c r="P52" s="37">
        <f t="shared" si="1"/>
        <v>0.67203513909224</v>
      </c>
    </row>
    <row r="53" spans="1:16" x14ac:dyDescent="0.25">
      <c r="A53" s="6" t="s">
        <v>28</v>
      </c>
      <c r="B53" s="6" t="s">
        <v>82</v>
      </c>
      <c r="C53" s="6" t="s">
        <v>30</v>
      </c>
      <c r="D53" s="6" t="s">
        <v>22</v>
      </c>
      <c r="E53" s="6" t="s">
        <v>27</v>
      </c>
      <c r="F53" s="7">
        <v>41504</v>
      </c>
      <c r="G53" s="8">
        <f t="shared" si="0"/>
        <v>2013</v>
      </c>
      <c r="H53" s="9">
        <v>918419539</v>
      </c>
      <c r="I53" s="7">
        <v>41535</v>
      </c>
      <c r="J53" s="10">
        <v>9606</v>
      </c>
      <c r="K53" s="9">
        <v>9.33</v>
      </c>
      <c r="L53" s="9">
        <v>6.92</v>
      </c>
      <c r="M53" s="11">
        <v>89623.98</v>
      </c>
      <c r="N53" s="11">
        <v>66473.52</v>
      </c>
      <c r="O53" s="11">
        <v>23150.46</v>
      </c>
      <c r="P53" s="37">
        <f t="shared" si="1"/>
        <v>0.25830653804930331</v>
      </c>
    </row>
    <row r="54" spans="1:16" x14ac:dyDescent="0.25">
      <c r="A54" s="6" t="s">
        <v>71</v>
      </c>
      <c r="B54" s="6" t="s">
        <v>83</v>
      </c>
      <c r="C54" s="6" t="s">
        <v>21</v>
      </c>
      <c r="D54" s="6" t="s">
        <v>22</v>
      </c>
      <c r="E54" s="6" t="s">
        <v>35</v>
      </c>
      <c r="F54" s="7">
        <v>41358</v>
      </c>
      <c r="G54" s="8">
        <f t="shared" si="0"/>
        <v>2013</v>
      </c>
      <c r="H54" s="9">
        <v>844530045</v>
      </c>
      <c r="I54" s="7">
        <v>41361</v>
      </c>
      <c r="J54" s="10">
        <v>4063</v>
      </c>
      <c r="K54" s="9">
        <v>205.7</v>
      </c>
      <c r="L54" s="9">
        <v>117.11</v>
      </c>
      <c r="M54" s="11">
        <v>835759.1</v>
      </c>
      <c r="N54" s="11">
        <v>475817.93</v>
      </c>
      <c r="O54" s="11">
        <v>359941.17</v>
      </c>
      <c r="P54" s="37">
        <f t="shared" si="1"/>
        <v>0.43067574137092851</v>
      </c>
    </row>
    <row r="55" spans="1:16" x14ac:dyDescent="0.25">
      <c r="A55" s="6" t="s">
        <v>28</v>
      </c>
      <c r="B55" s="6" t="s">
        <v>84</v>
      </c>
      <c r="C55" s="6" t="s">
        <v>26</v>
      </c>
      <c r="D55" s="6" t="s">
        <v>17</v>
      </c>
      <c r="E55" s="6" t="s">
        <v>35</v>
      </c>
      <c r="F55" s="7">
        <v>40873</v>
      </c>
      <c r="G55" s="8">
        <f t="shared" si="0"/>
        <v>2011</v>
      </c>
      <c r="H55" s="9">
        <v>441888415</v>
      </c>
      <c r="I55" s="7">
        <v>40915</v>
      </c>
      <c r="J55" s="10">
        <v>3457</v>
      </c>
      <c r="K55" s="9">
        <v>651.21</v>
      </c>
      <c r="L55" s="9">
        <v>524.96</v>
      </c>
      <c r="M55" s="11">
        <v>2251232.9700000002</v>
      </c>
      <c r="N55" s="11">
        <v>1814786.72</v>
      </c>
      <c r="O55" s="11">
        <v>436446.25</v>
      </c>
      <c r="P55" s="37">
        <f t="shared" si="1"/>
        <v>0.19386987300563566</v>
      </c>
    </row>
    <row r="56" spans="1:16" x14ac:dyDescent="0.25">
      <c r="A56" s="6" t="s">
        <v>28</v>
      </c>
      <c r="B56" s="6" t="s">
        <v>29</v>
      </c>
      <c r="C56" s="6" t="s">
        <v>30</v>
      </c>
      <c r="D56" s="6" t="s">
        <v>17</v>
      </c>
      <c r="E56" s="6" t="s">
        <v>18</v>
      </c>
      <c r="F56" s="7">
        <v>41534</v>
      </c>
      <c r="G56" s="8">
        <f t="shared" si="0"/>
        <v>2013</v>
      </c>
      <c r="H56" s="9">
        <v>508980977</v>
      </c>
      <c r="I56" s="7">
        <v>41571</v>
      </c>
      <c r="J56" s="10">
        <v>7637</v>
      </c>
      <c r="K56" s="9">
        <v>9.33</v>
      </c>
      <c r="L56" s="9">
        <v>6.92</v>
      </c>
      <c r="M56" s="11">
        <v>71253.210000000006</v>
      </c>
      <c r="N56" s="11">
        <v>52848.04</v>
      </c>
      <c r="O56" s="11">
        <v>18405.169999999998</v>
      </c>
      <c r="P56" s="37">
        <f t="shared" si="1"/>
        <v>0.25830653804930326</v>
      </c>
    </row>
    <row r="57" spans="1:16" x14ac:dyDescent="0.25">
      <c r="A57" s="6" t="s">
        <v>28</v>
      </c>
      <c r="B57" s="6" t="s">
        <v>85</v>
      </c>
      <c r="C57" s="6" t="s">
        <v>44</v>
      </c>
      <c r="D57" s="6" t="s">
        <v>22</v>
      </c>
      <c r="E57" s="6" t="s">
        <v>23</v>
      </c>
      <c r="F57" s="7">
        <v>41068</v>
      </c>
      <c r="G57" s="8">
        <f t="shared" si="0"/>
        <v>2012</v>
      </c>
      <c r="H57" s="9">
        <v>114606559</v>
      </c>
      <c r="I57" s="7">
        <v>41087</v>
      </c>
      <c r="J57" s="10">
        <v>3482</v>
      </c>
      <c r="K57" s="9">
        <v>109.28</v>
      </c>
      <c r="L57" s="9">
        <v>35.840000000000003</v>
      </c>
      <c r="M57" s="11">
        <v>380512.96</v>
      </c>
      <c r="N57" s="11">
        <v>124794.88</v>
      </c>
      <c r="O57" s="11">
        <v>255718.08</v>
      </c>
      <c r="P57" s="37">
        <f t="shared" si="1"/>
        <v>0.67203513909224</v>
      </c>
    </row>
    <row r="58" spans="1:16" x14ac:dyDescent="0.25">
      <c r="A58" s="6" t="s">
        <v>14</v>
      </c>
      <c r="B58" s="6" t="s">
        <v>86</v>
      </c>
      <c r="C58" s="6" t="s">
        <v>44</v>
      </c>
      <c r="D58" s="6" t="s">
        <v>17</v>
      </c>
      <c r="E58" s="6" t="s">
        <v>23</v>
      </c>
      <c r="F58" s="7">
        <v>40359</v>
      </c>
      <c r="G58" s="8">
        <f t="shared" si="0"/>
        <v>2010</v>
      </c>
      <c r="H58" s="9">
        <v>647876489</v>
      </c>
      <c r="I58" s="7">
        <v>40391</v>
      </c>
      <c r="J58" s="10">
        <v>9905</v>
      </c>
      <c r="K58" s="9">
        <v>109.28</v>
      </c>
      <c r="L58" s="9">
        <v>35.840000000000003</v>
      </c>
      <c r="M58" s="11">
        <v>1082418.3999999999</v>
      </c>
      <c r="N58" s="11">
        <v>354995.20000000001</v>
      </c>
      <c r="O58" s="11">
        <v>727423.2</v>
      </c>
      <c r="P58" s="37">
        <f t="shared" si="1"/>
        <v>0.67203513909224011</v>
      </c>
    </row>
    <row r="59" spans="1:16" x14ac:dyDescent="0.25">
      <c r="A59" s="6" t="s">
        <v>24</v>
      </c>
      <c r="B59" s="6" t="s">
        <v>87</v>
      </c>
      <c r="C59" s="6" t="s">
        <v>50</v>
      </c>
      <c r="D59" s="6" t="s">
        <v>17</v>
      </c>
      <c r="E59" s="6" t="s">
        <v>18</v>
      </c>
      <c r="F59" s="7">
        <v>42058</v>
      </c>
      <c r="G59" s="8">
        <f t="shared" si="0"/>
        <v>2015</v>
      </c>
      <c r="H59" s="9">
        <v>868214595</v>
      </c>
      <c r="I59" s="7">
        <v>42065</v>
      </c>
      <c r="J59" s="10">
        <v>2847</v>
      </c>
      <c r="K59" s="9">
        <v>437.2</v>
      </c>
      <c r="L59" s="9">
        <v>263.33</v>
      </c>
      <c r="M59" s="11">
        <v>1244708.3999999999</v>
      </c>
      <c r="N59" s="11">
        <v>749700.51</v>
      </c>
      <c r="O59" s="11">
        <v>495007.89</v>
      </c>
      <c r="P59" s="37">
        <f t="shared" si="1"/>
        <v>0.3976898444647759</v>
      </c>
    </row>
    <row r="60" spans="1:16" x14ac:dyDescent="0.25">
      <c r="A60" s="6" t="s">
        <v>24</v>
      </c>
      <c r="B60" s="6" t="s">
        <v>88</v>
      </c>
      <c r="C60" s="6" t="s">
        <v>34</v>
      </c>
      <c r="D60" s="6" t="s">
        <v>22</v>
      </c>
      <c r="E60" s="6" t="s">
        <v>27</v>
      </c>
      <c r="F60" s="7">
        <v>40913</v>
      </c>
      <c r="G60" s="8">
        <f t="shared" si="0"/>
        <v>2012</v>
      </c>
      <c r="H60" s="9">
        <v>955357205</v>
      </c>
      <c r="I60" s="7">
        <v>40953</v>
      </c>
      <c r="J60" s="10">
        <v>282</v>
      </c>
      <c r="K60" s="9">
        <v>668.27</v>
      </c>
      <c r="L60" s="9">
        <v>502.54</v>
      </c>
      <c r="M60" s="11">
        <v>188452.14</v>
      </c>
      <c r="N60" s="11">
        <v>141716.28</v>
      </c>
      <c r="O60" s="11">
        <v>46735.86</v>
      </c>
      <c r="P60" s="37">
        <f t="shared" si="1"/>
        <v>0.24799856345489096</v>
      </c>
    </row>
    <row r="61" spans="1:16" x14ac:dyDescent="0.25">
      <c r="A61" s="6" t="s">
        <v>28</v>
      </c>
      <c r="B61" s="6" t="s">
        <v>69</v>
      </c>
      <c r="C61" s="6" t="s">
        <v>50</v>
      </c>
      <c r="D61" s="6" t="s">
        <v>17</v>
      </c>
      <c r="E61" s="6" t="s">
        <v>18</v>
      </c>
      <c r="F61" s="7">
        <v>41736</v>
      </c>
      <c r="G61" s="8">
        <f t="shared" si="0"/>
        <v>2014</v>
      </c>
      <c r="H61" s="9">
        <v>259353148</v>
      </c>
      <c r="I61" s="7">
        <v>41748</v>
      </c>
      <c r="J61" s="10">
        <v>7215</v>
      </c>
      <c r="K61" s="9">
        <v>437.2</v>
      </c>
      <c r="L61" s="9">
        <v>263.33</v>
      </c>
      <c r="M61" s="11">
        <v>3154398</v>
      </c>
      <c r="N61" s="11">
        <v>1899925.95</v>
      </c>
      <c r="O61" s="11">
        <v>1254472.05</v>
      </c>
      <c r="P61" s="37">
        <f t="shared" si="1"/>
        <v>0.39768984446477584</v>
      </c>
    </row>
    <row r="62" spans="1:16" x14ac:dyDescent="0.25">
      <c r="A62" s="6" t="s">
        <v>14</v>
      </c>
      <c r="B62" s="6" t="s">
        <v>67</v>
      </c>
      <c r="C62" s="6" t="s">
        <v>21</v>
      </c>
      <c r="D62" s="6" t="s">
        <v>17</v>
      </c>
      <c r="E62" s="6" t="s">
        <v>18</v>
      </c>
      <c r="F62" s="7">
        <v>41434</v>
      </c>
      <c r="G62" s="8">
        <f t="shared" si="0"/>
        <v>2013</v>
      </c>
      <c r="H62" s="9">
        <v>450563752</v>
      </c>
      <c r="I62" s="7">
        <v>41457</v>
      </c>
      <c r="J62" s="10">
        <v>682</v>
      </c>
      <c r="K62" s="9">
        <v>205.7</v>
      </c>
      <c r="L62" s="9">
        <v>117.11</v>
      </c>
      <c r="M62" s="11">
        <v>140287.4</v>
      </c>
      <c r="N62" s="11">
        <v>79869.02</v>
      </c>
      <c r="O62" s="11">
        <v>60418.38</v>
      </c>
      <c r="P62" s="37">
        <f t="shared" si="1"/>
        <v>0.43067574137092851</v>
      </c>
    </row>
    <row r="63" spans="1:16" x14ac:dyDescent="0.25">
      <c r="A63" s="6" t="s">
        <v>24</v>
      </c>
      <c r="B63" s="6" t="s">
        <v>89</v>
      </c>
      <c r="C63" s="6" t="s">
        <v>16</v>
      </c>
      <c r="D63" s="6" t="s">
        <v>22</v>
      </c>
      <c r="E63" s="6" t="s">
        <v>27</v>
      </c>
      <c r="F63" s="7">
        <v>41451</v>
      </c>
      <c r="G63" s="8">
        <f t="shared" si="0"/>
        <v>2013</v>
      </c>
      <c r="H63" s="9">
        <v>569662845</v>
      </c>
      <c r="I63" s="7">
        <v>41456</v>
      </c>
      <c r="J63" s="10">
        <v>4750</v>
      </c>
      <c r="K63" s="9">
        <v>255.28</v>
      </c>
      <c r="L63" s="9">
        <v>159.41999999999999</v>
      </c>
      <c r="M63" s="11">
        <v>1212580</v>
      </c>
      <c r="N63" s="11">
        <v>757245</v>
      </c>
      <c r="O63" s="11">
        <v>455335</v>
      </c>
      <c r="P63" s="37">
        <f t="shared" si="1"/>
        <v>0.37550924475086178</v>
      </c>
    </row>
    <row r="64" spans="1:16" x14ac:dyDescent="0.25">
      <c r="A64" s="6" t="s">
        <v>28</v>
      </c>
      <c r="B64" s="6" t="s">
        <v>51</v>
      </c>
      <c r="C64" s="6" t="s">
        <v>26</v>
      </c>
      <c r="D64" s="6" t="s">
        <v>22</v>
      </c>
      <c r="E64" s="6" t="s">
        <v>35</v>
      </c>
      <c r="F64" s="7">
        <v>40854</v>
      </c>
      <c r="G64" s="8">
        <f t="shared" si="0"/>
        <v>2011</v>
      </c>
      <c r="H64" s="9">
        <v>177636754</v>
      </c>
      <c r="I64" s="7">
        <v>40862</v>
      </c>
      <c r="J64" s="10">
        <v>5518</v>
      </c>
      <c r="K64" s="9">
        <v>651.21</v>
      </c>
      <c r="L64" s="9">
        <v>524.96</v>
      </c>
      <c r="M64" s="11">
        <v>3593376.78</v>
      </c>
      <c r="N64" s="11">
        <v>2896729.28</v>
      </c>
      <c r="O64" s="11">
        <v>696647.5</v>
      </c>
      <c r="P64" s="37">
        <f t="shared" si="1"/>
        <v>0.19386987300563568</v>
      </c>
    </row>
    <row r="65" spans="1:16" x14ac:dyDescent="0.25">
      <c r="A65" s="6" t="s">
        <v>71</v>
      </c>
      <c r="B65" s="6" t="s">
        <v>90</v>
      </c>
      <c r="C65" s="6" t="s">
        <v>44</v>
      </c>
      <c r="D65" s="6" t="s">
        <v>17</v>
      </c>
      <c r="E65" s="6" t="s">
        <v>18</v>
      </c>
      <c r="F65" s="7">
        <v>40481</v>
      </c>
      <c r="G65" s="8">
        <f t="shared" si="0"/>
        <v>2010</v>
      </c>
      <c r="H65" s="9">
        <v>705784308</v>
      </c>
      <c r="I65" s="7">
        <v>40499</v>
      </c>
      <c r="J65" s="10">
        <v>6116</v>
      </c>
      <c r="K65" s="9">
        <v>109.28</v>
      </c>
      <c r="L65" s="9">
        <v>35.840000000000003</v>
      </c>
      <c r="M65" s="11">
        <v>668356.48</v>
      </c>
      <c r="N65" s="11">
        <v>219197.44</v>
      </c>
      <c r="O65" s="11">
        <v>449159.04</v>
      </c>
      <c r="P65" s="37">
        <f t="shared" si="1"/>
        <v>0.67203513909224011</v>
      </c>
    </row>
    <row r="66" spans="1:16" x14ac:dyDescent="0.25">
      <c r="A66" s="6" t="s">
        <v>19</v>
      </c>
      <c r="B66" s="6" t="s">
        <v>91</v>
      </c>
      <c r="C66" s="6" t="s">
        <v>50</v>
      </c>
      <c r="D66" s="6" t="s">
        <v>17</v>
      </c>
      <c r="E66" s="6" t="s">
        <v>18</v>
      </c>
      <c r="F66" s="7">
        <v>41560</v>
      </c>
      <c r="G66" s="8">
        <f t="shared" si="0"/>
        <v>2013</v>
      </c>
      <c r="H66" s="9">
        <v>505716836</v>
      </c>
      <c r="I66" s="7">
        <v>41594</v>
      </c>
      <c r="J66" s="10">
        <v>1705</v>
      </c>
      <c r="K66" s="9">
        <v>437.2</v>
      </c>
      <c r="L66" s="9">
        <v>263.33</v>
      </c>
      <c r="M66" s="11">
        <v>745426</v>
      </c>
      <c r="N66" s="11">
        <v>448977.65</v>
      </c>
      <c r="O66" s="11">
        <v>296448.34999999998</v>
      </c>
      <c r="P66" s="37">
        <f t="shared" si="1"/>
        <v>0.39768984446477579</v>
      </c>
    </row>
    <row r="67" spans="1:16" x14ac:dyDescent="0.25">
      <c r="A67" s="6" t="s">
        <v>28</v>
      </c>
      <c r="B67" s="6" t="s">
        <v>31</v>
      </c>
      <c r="C67" s="6" t="s">
        <v>50</v>
      </c>
      <c r="D67" s="6" t="s">
        <v>17</v>
      </c>
      <c r="E67" s="6" t="s">
        <v>18</v>
      </c>
      <c r="F67" s="7">
        <v>41558</v>
      </c>
      <c r="G67" s="8">
        <f t="shared" ref="G67:G101" si="2">YEAR(F67)</f>
        <v>2013</v>
      </c>
      <c r="H67" s="9">
        <v>699358165</v>
      </c>
      <c r="I67" s="7">
        <v>41603</v>
      </c>
      <c r="J67" s="10">
        <v>4477</v>
      </c>
      <c r="K67" s="9">
        <v>437.2</v>
      </c>
      <c r="L67" s="9">
        <v>263.33</v>
      </c>
      <c r="M67" s="11">
        <v>1957344.4</v>
      </c>
      <c r="N67" s="11">
        <v>1178928.4099999999</v>
      </c>
      <c r="O67" s="11">
        <v>778415.99</v>
      </c>
      <c r="P67" s="37">
        <f t="shared" ref="P67:P102" si="3">O67/M67</f>
        <v>0.39768984446477584</v>
      </c>
    </row>
    <row r="68" spans="1:16" x14ac:dyDescent="0.25">
      <c r="A68" s="6" t="s">
        <v>28</v>
      </c>
      <c r="B68" s="6" t="s">
        <v>92</v>
      </c>
      <c r="C68" s="6" t="s">
        <v>39</v>
      </c>
      <c r="D68" s="6" t="s">
        <v>17</v>
      </c>
      <c r="E68" s="6" t="s">
        <v>27</v>
      </c>
      <c r="F68" s="7">
        <v>41098</v>
      </c>
      <c r="G68" s="8">
        <f t="shared" si="2"/>
        <v>2012</v>
      </c>
      <c r="H68" s="9">
        <v>228944623</v>
      </c>
      <c r="I68" s="7">
        <v>41099</v>
      </c>
      <c r="J68" s="10">
        <v>8656</v>
      </c>
      <c r="K68" s="9">
        <v>81.73</v>
      </c>
      <c r="L68" s="9">
        <v>56.67</v>
      </c>
      <c r="M68" s="11">
        <v>707454.88</v>
      </c>
      <c r="N68" s="11">
        <v>490535.52</v>
      </c>
      <c r="O68" s="11">
        <v>216919.36</v>
      </c>
      <c r="P68" s="37">
        <f t="shared" si="3"/>
        <v>0.30661935641747212</v>
      </c>
    </row>
    <row r="69" spans="1:16" x14ac:dyDescent="0.25">
      <c r="A69" s="6" t="s">
        <v>19</v>
      </c>
      <c r="B69" s="6" t="s">
        <v>93</v>
      </c>
      <c r="C69" s="6" t="s">
        <v>44</v>
      </c>
      <c r="D69" s="6" t="s">
        <v>17</v>
      </c>
      <c r="E69" s="6" t="s">
        <v>35</v>
      </c>
      <c r="F69" s="7">
        <v>42576</v>
      </c>
      <c r="G69" s="8">
        <f t="shared" si="2"/>
        <v>2016</v>
      </c>
      <c r="H69" s="9">
        <v>807025039</v>
      </c>
      <c r="I69" s="7">
        <v>42620</v>
      </c>
      <c r="J69" s="10">
        <v>5498</v>
      </c>
      <c r="K69" s="9">
        <v>109.28</v>
      </c>
      <c r="L69" s="9">
        <v>35.840000000000003</v>
      </c>
      <c r="M69" s="11">
        <v>600821.43999999994</v>
      </c>
      <c r="N69" s="11">
        <v>197048.32000000001</v>
      </c>
      <c r="O69" s="11">
        <v>403773.12</v>
      </c>
      <c r="P69" s="37">
        <f t="shared" si="3"/>
        <v>0.67203513909224022</v>
      </c>
    </row>
    <row r="70" spans="1:16" x14ac:dyDescent="0.25">
      <c r="A70" s="6" t="s">
        <v>24</v>
      </c>
      <c r="B70" s="6" t="s">
        <v>94</v>
      </c>
      <c r="C70" s="6" t="s">
        <v>26</v>
      </c>
      <c r="D70" s="6" t="s">
        <v>17</v>
      </c>
      <c r="E70" s="6" t="s">
        <v>18</v>
      </c>
      <c r="F70" s="7">
        <v>40475</v>
      </c>
      <c r="G70" s="8">
        <f t="shared" si="2"/>
        <v>2010</v>
      </c>
      <c r="H70" s="9">
        <v>166460740</v>
      </c>
      <c r="I70" s="7">
        <v>40499</v>
      </c>
      <c r="J70" s="10">
        <v>8287</v>
      </c>
      <c r="K70" s="9">
        <v>651.21</v>
      </c>
      <c r="L70" s="9">
        <v>524.96</v>
      </c>
      <c r="M70" s="11">
        <v>5396577.2699999996</v>
      </c>
      <c r="N70" s="11">
        <v>4350343.5199999996</v>
      </c>
      <c r="O70" s="11">
        <v>1046233.75</v>
      </c>
      <c r="P70" s="37">
        <f t="shared" si="3"/>
        <v>0.19386987300563568</v>
      </c>
    </row>
    <row r="71" spans="1:16" x14ac:dyDescent="0.25">
      <c r="A71" s="6" t="s">
        <v>28</v>
      </c>
      <c r="B71" s="6" t="s">
        <v>95</v>
      </c>
      <c r="C71" s="6" t="s">
        <v>44</v>
      </c>
      <c r="D71" s="6" t="s">
        <v>17</v>
      </c>
      <c r="E71" s="6" t="s">
        <v>27</v>
      </c>
      <c r="F71" s="7">
        <v>42119</v>
      </c>
      <c r="G71" s="8">
        <f t="shared" si="2"/>
        <v>2015</v>
      </c>
      <c r="H71" s="9">
        <v>610425555</v>
      </c>
      <c r="I71" s="7">
        <v>42152</v>
      </c>
      <c r="J71" s="10">
        <v>7342</v>
      </c>
      <c r="K71" s="9">
        <v>109.28</v>
      </c>
      <c r="L71" s="9">
        <v>35.840000000000003</v>
      </c>
      <c r="M71" s="11">
        <v>802333.76</v>
      </c>
      <c r="N71" s="11">
        <v>263137.28000000003</v>
      </c>
      <c r="O71" s="11">
        <v>539196.48</v>
      </c>
      <c r="P71" s="37">
        <f t="shared" si="3"/>
        <v>0.67203513909224011</v>
      </c>
    </row>
    <row r="72" spans="1:16" x14ac:dyDescent="0.25">
      <c r="A72" s="6" t="s">
        <v>41</v>
      </c>
      <c r="B72" s="6" t="s">
        <v>53</v>
      </c>
      <c r="C72" s="6" t="s">
        <v>26</v>
      </c>
      <c r="D72" s="6" t="s">
        <v>22</v>
      </c>
      <c r="E72" s="6" t="s">
        <v>35</v>
      </c>
      <c r="F72" s="7">
        <v>41387</v>
      </c>
      <c r="G72" s="8">
        <f t="shared" si="2"/>
        <v>2013</v>
      </c>
      <c r="H72" s="9">
        <v>462405812</v>
      </c>
      <c r="I72" s="7">
        <v>41414</v>
      </c>
      <c r="J72" s="10">
        <v>5010</v>
      </c>
      <c r="K72" s="9">
        <v>651.21</v>
      </c>
      <c r="L72" s="9">
        <v>524.96</v>
      </c>
      <c r="M72" s="11">
        <v>3262562.1</v>
      </c>
      <c r="N72" s="11">
        <v>2630049.6</v>
      </c>
      <c r="O72" s="11">
        <v>632512.5</v>
      </c>
      <c r="P72" s="37">
        <f t="shared" si="3"/>
        <v>0.19386987300563566</v>
      </c>
    </row>
    <row r="73" spans="1:16" x14ac:dyDescent="0.25">
      <c r="A73" s="6" t="s">
        <v>71</v>
      </c>
      <c r="B73" s="6" t="s">
        <v>90</v>
      </c>
      <c r="C73" s="6" t="s">
        <v>30</v>
      </c>
      <c r="D73" s="6" t="s">
        <v>22</v>
      </c>
      <c r="E73" s="6" t="s">
        <v>27</v>
      </c>
      <c r="F73" s="7">
        <v>42230</v>
      </c>
      <c r="G73" s="8">
        <f t="shared" si="2"/>
        <v>2015</v>
      </c>
      <c r="H73" s="9">
        <v>816200339</v>
      </c>
      <c r="I73" s="7">
        <v>42277</v>
      </c>
      <c r="J73" s="10">
        <v>673</v>
      </c>
      <c r="K73" s="9">
        <v>9.33</v>
      </c>
      <c r="L73" s="9">
        <v>6.92</v>
      </c>
      <c r="M73" s="11">
        <v>6279.09</v>
      </c>
      <c r="N73" s="11">
        <v>4657.16</v>
      </c>
      <c r="O73" s="11">
        <v>1621.93</v>
      </c>
      <c r="P73" s="37">
        <f t="shared" si="3"/>
        <v>0.25830653804930331</v>
      </c>
    </row>
    <row r="74" spans="1:16" x14ac:dyDescent="0.25">
      <c r="A74" s="6" t="s">
        <v>28</v>
      </c>
      <c r="B74" s="6" t="s">
        <v>96</v>
      </c>
      <c r="C74" s="6" t="s">
        <v>52</v>
      </c>
      <c r="D74" s="6" t="s">
        <v>22</v>
      </c>
      <c r="E74" s="6" t="s">
        <v>23</v>
      </c>
      <c r="F74" s="7">
        <v>40689</v>
      </c>
      <c r="G74" s="8">
        <f t="shared" si="2"/>
        <v>2011</v>
      </c>
      <c r="H74" s="9">
        <v>585920464</v>
      </c>
      <c r="I74" s="7">
        <v>40739</v>
      </c>
      <c r="J74" s="10">
        <v>5741</v>
      </c>
      <c r="K74" s="9">
        <v>47.45</v>
      </c>
      <c r="L74" s="9">
        <v>31.79</v>
      </c>
      <c r="M74" s="11">
        <v>272410.45</v>
      </c>
      <c r="N74" s="11">
        <v>182506.39</v>
      </c>
      <c r="O74" s="11">
        <v>89904.06</v>
      </c>
      <c r="P74" s="37">
        <f t="shared" si="3"/>
        <v>0.330031612223393</v>
      </c>
    </row>
    <row r="75" spans="1:16" x14ac:dyDescent="0.25">
      <c r="A75" s="6" t="s">
        <v>28</v>
      </c>
      <c r="B75" s="6" t="s">
        <v>69</v>
      </c>
      <c r="C75" s="6" t="s">
        <v>21</v>
      </c>
      <c r="D75" s="6" t="s">
        <v>22</v>
      </c>
      <c r="E75" s="6" t="s">
        <v>18</v>
      </c>
      <c r="F75" s="7">
        <v>42875</v>
      </c>
      <c r="G75" s="8">
        <f t="shared" si="2"/>
        <v>2017</v>
      </c>
      <c r="H75" s="9">
        <v>555990016</v>
      </c>
      <c r="I75" s="7">
        <v>42903</v>
      </c>
      <c r="J75" s="10">
        <v>8656</v>
      </c>
      <c r="K75" s="9">
        <v>205.7</v>
      </c>
      <c r="L75" s="9">
        <v>117.11</v>
      </c>
      <c r="M75" s="11">
        <v>1780539.2</v>
      </c>
      <c r="N75" s="11">
        <v>1013704.16</v>
      </c>
      <c r="O75" s="11">
        <v>766835.04</v>
      </c>
      <c r="P75" s="37">
        <f t="shared" si="3"/>
        <v>0.43067574137092857</v>
      </c>
    </row>
    <row r="76" spans="1:16" x14ac:dyDescent="0.25">
      <c r="A76" s="6" t="s">
        <v>71</v>
      </c>
      <c r="B76" s="6" t="s">
        <v>97</v>
      </c>
      <c r="C76" s="6" t="s">
        <v>50</v>
      </c>
      <c r="D76" s="6" t="s">
        <v>17</v>
      </c>
      <c r="E76" s="6" t="s">
        <v>27</v>
      </c>
      <c r="F76" s="7">
        <v>41460</v>
      </c>
      <c r="G76" s="8">
        <f t="shared" si="2"/>
        <v>2013</v>
      </c>
      <c r="H76" s="9">
        <v>231145322</v>
      </c>
      <c r="I76" s="7">
        <v>41502</v>
      </c>
      <c r="J76" s="10">
        <v>9892</v>
      </c>
      <c r="K76" s="9">
        <v>437.2</v>
      </c>
      <c r="L76" s="9">
        <v>263.33</v>
      </c>
      <c r="M76" s="11">
        <v>4324782.4000000004</v>
      </c>
      <c r="N76" s="11">
        <v>2604860.36</v>
      </c>
      <c r="O76" s="11">
        <v>1719922.04</v>
      </c>
      <c r="P76" s="37">
        <f t="shared" si="3"/>
        <v>0.39768984446477584</v>
      </c>
    </row>
    <row r="77" spans="1:16" x14ac:dyDescent="0.25">
      <c r="A77" s="6" t="s">
        <v>98</v>
      </c>
      <c r="B77" s="6" t="s">
        <v>99</v>
      </c>
      <c r="C77" s="6" t="s">
        <v>34</v>
      </c>
      <c r="D77" s="6" t="s">
        <v>17</v>
      </c>
      <c r="E77" s="6" t="s">
        <v>23</v>
      </c>
      <c r="F77" s="7">
        <v>41949</v>
      </c>
      <c r="G77" s="8">
        <f t="shared" si="2"/>
        <v>2014</v>
      </c>
      <c r="H77" s="9">
        <v>986435210</v>
      </c>
      <c r="I77" s="7">
        <v>41985</v>
      </c>
      <c r="J77" s="10">
        <v>6954</v>
      </c>
      <c r="K77" s="9">
        <v>668.27</v>
      </c>
      <c r="L77" s="9">
        <v>502.54</v>
      </c>
      <c r="M77" s="11">
        <v>4647149.58</v>
      </c>
      <c r="N77" s="11">
        <v>3494663.16</v>
      </c>
      <c r="O77" s="11">
        <v>1152486.42</v>
      </c>
      <c r="P77" s="37">
        <f t="shared" si="3"/>
        <v>0.24799856345489096</v>
      </c>
    </row>
    <row r="78" spans="1:16" x14ac:dyDescent="0.25">
      <c r="A78" s="6" t="s">
        <v>14</v>
      </c>
      <c r="B78" s="6" t="s">
        <v>100</v>
      </c>
      <c r="C78" s="6" t="s">
        <v>52</v>
      </c>
      <c r="D78" s="6" t="s">
        <v>22</v>
      </c>
      <c r="E78" s="6" t="s">
        <v>23</v>
      </c>
      <c r="F78" s="7">
        <v>41940</v>
      </c>
      <c r="G78" s="8">
        <f t="shared" si="2"/>
        <v>2014</v>
      </c>
      <c r="H78" s="9">
        <v>217221009</v>
      </c>
      <c r="I78" s="7">
        <v>41958</v>
      </c>
      <c r="J78" s="10">
        <v>9379</v>
      </c>
      <c r="K78" s="9">
        <v>47.45</v>
      </c>
      <c r="L78" s="9">
        <v>31.79</v>
      </c>
      <c r="M78" s="11">
        <v>445033.55</v>
      </c>
      <c r="N78" s="11">
        <v>298158.40999999997</v>
      </c>
      <c r="O78" s="11">
        <v>146875.14000000001</v>
      </c>
      <c r="P78" s="37">
        <f t="shared" si="3"/>
        <v>0.33003161222339311</v>
      </c>
    </row>
    <row r="79" spans="1:16" x14ac:dyDescent="0.25">
      <c r="A79" s="6" t="s">
        <v>41</v>
      </c>
      <c r="B79" s="6" t="s">
        <v>101</v>
      </c>
      <c r="C79" s="6" t="s">
        <v>37</v>
      </c>
      <c r="D79" s="6" t="s">
        <v>17</v>
      </c>
      <c r="E79" s="6" t="s">
        <v>23</v>
      </c>
      <c r="F79" s="7">
        <v>40801</v>
      </c>
      <c r="G79" s="8">
        <f t="shared" si="2"/>
        <v>2011</v>
      </c>
      <c r="H79" s="9">
        <v>789176547</v>
      </c>
      <c r="I79" s="7">
        <v>40839</v>
      </c>
      <c r="J79" s="10">
        <v>3732</v>
      </c>
      <c r="K79" s="9">
        <v>154.06</v>
      </c>
      <c r="L79" s="9">
        <v>90.93</v>
      </c>
      <c r="M79" s="11">
        <v>574951.92000000004</v>
      </c>
      <c r="N79" s="11">
        <v>339350.76</v>
      </c>
      <c r="O79" s="11">
        <v>235601.16</v>
      </c>
      <c r="P79" s="37">
        <f t="shared" si="3"/>
        <v>0.40977541217707386</v>
      </c>
    </row>
    <row r="80" spans="1:16" x14ac:dyDescent="0.25">
      <c r="A80" s="6" t="s">
        <v>24</v>
      </c>
      <c r="B80" s="6" t="s">
        <v>102</v>
      </c>
      <c r="C80" s="6" t="s">
        <v>16</v>
      </c>
      <c r="D80" s="6" t="s">
        <v>17</v>
      </c>
      <c r="E80" s="6" t="s">
        <v>18</v>
      </c>
      <c r="F80" s="7">
        <v>41058</v>
      </c>
      <c r="G80" s="8">
        <f t="shared" si="2"/>
        <v>2012</v>
      </c>
      <c r="H80" s="9">
        <v>688288152</v>
      </c>
      <c r="I80" s="7">
        <v>41062</v>
      </c>
      <c r="J80" s="10">
        <v>8614</v>
      </c>
      <c r="K80" s="9">
        <v>255.28</v>
      </c>
      <c r="L80" s="9">
        <v>159.41999999999999</v>
      </c>
      <c r="M80" s="11">
        <v>2198981.92</v>
      </c>
      <c r="N80" s="11">
        <v>1373243.88</v>
      </c>
      <c r="O80" s="11">
        <v>825738.04</v>
      </c>
      <c r="P80" s="37">
        <f t="shared" si="3"/>
        <v>0.37550924475086184</v>
      </c>
    </row>
    <row r="81" spans="1:16" x14ac:dyDescent="0.25">
      <c r="A81" s="6" t="s">
        <v>14</v>
      </c>
      <c r="B81" s="6" t="s">
        <v>103</v>
      </c>
      <c r="C81" s="6" t="s">
        <v>50</v>
      </c>
      <c r="D81" s="6" t="s">
        <v>22</v>
      </c>
      <c r="E81" s="6" t="s">
        <v>18</v>
      </c>
      <c r="F81" s="7">
        <v>41475</v>
      </c>
      <c r="G81" s="8">
        <f t="shared" si="2"/>
        <v>2013</v>
      </c>
      <c r="H81" s="9">
        <v>670854651</v>
      </c>
      <c r="I81" s="7">
        <v>41493</v>
      </c>
      <c r="J81" s="10">
        <v>9654</v>
      </c>
      <c r="K81" s="9">
        <v>437.2</v>
      </c>
      <c r="L81" s="9">
        <v>263.33</v>
      </c>
      <c r="M81" s="11">
        <v>4220728.8</v>
      </c>
      <c r="N81" s="11">
        <v>2542187.8199999998</v>
      </c>
      <c r="O81" s="11">
        <v>1678540.98</v>
      </c>
      <c r="P81" s="37">
        <f t="shared" si="3"/>
        <v>0.39768984446477584</v>
      </c>
    </row>
    <row r="82" spans="1:16" x14ac:dyDescent="0.25">
      <c r="A82" s="6" t="s">
        <v>24</v>
      </c>
      <c r="B82" s="6" t="s">
        <v>104</v>
      </c>
      <c r="C82" s="6" t="s">
        <v>34</v>
      </c>
      <c r="D82" s="6" t="s">
        <v>17</v>
      </c>
      <c r="E82" s="6" t="s">
        <v>27</v>
      </c>
      <c r="F82" s="7">
        <v>41203</v>
      </c>
      <c r="G82" s="8">
        <f t="shared" si="2"/>
        <v>2012</v>
      </c>
      <c r="H82" s="9">
        <v>213487374</v>
      </c>
      <c r="I82" s="7">
        <v>41243</v>
      </c>
      <c r="J82" s="10">
        <v>4513</v>
      </c>
      <c r="K82" s="9">
        <v>668.27</v>
      </c>
      <c r="L82" s="9">
        <v>502.54</v>
      </c>
      <c r="M82" s="11">
        <v>3015902.51</v>
      </c>
      <c r="N82" s="11">
        <v>2267963.02</v>
      </c>
      <c r="O82" s="11">
        <v>747939.49</v>
      </c>
      <c r="P82" s="37">
        <f t="shared" si="3"/>
        <v>0.24799856345489099</v>
      </c>
    </row>
    <row r="83" spans="1:16" x14ac:dyDescent="0.25">
      <c r="A83" s="6" t="s">
        <v>71</v>
      </c>
      <c r="B83" s="6" t="s">
        <v>105</v>
      </c>
      <c r="C83" s="6" t="s">
        <v>44</v>
      </c>
      <c r="D83" s="6" t="s">
        <v>22</v>
      </c>
      <c r="E83" s="6" t="s">
        <v>27</v>
      </c>
      <c r="F83" s="7">
        <v>41170</v>
      </c>
      <c r="G83" s="8">
        <f t="shared" si="2"/>
        <v>2012</v>
      </c>
      <c r="H83" s="9">
        <v>663110148</v>
      </c>
      <c r="I83" s="7">
        <v>41190</v>
      </c>
      <c r="J83" s="10">
        <v>7884</v>
      </c>
      <c r="K83" s="9">
        <v>109.28</v>
      </c>
      <c r="L83" s="9">
        <v>35.840000000000003</v>
      </c>
      <c r="M83" s="11">
        <v>861563.52</v>
      </c>
      <c r="N83" s="11">
        <v>282562.56</v>
      </c>
      <c r="O83" s="11">
        <v>579000.96</v>
      </c>
      <c r="P83" s="37">
        <f t="shared" si="3"/>
        <v>0.67203513909224011</v>
      </c>
    </row>
    <row r="84" spans="1:16" x14ac:dyDescent="0.25">
      <c r="A84" s="6" t="s">
        <v>71</v>
      </c>
      <c r="B84" s="6" t="s">
        <v>106</v>
      </c>
      <c r="C84" s="6" t="s">
        <v>50</v>
      </c>
      <c r="D84" s="6" t="s">
        <v>22</v>
      </c>
      <c r="E84" s="6" t="s">
        <v>18</v>
      </c>
      <c r="F84" s="7">
        <v>42689</v>
      </c>
      <c r="G84" s="8">
        <f t="shared" si="2"/>
        <v>2016</v>
      </c>
      <c r="H84" s="9">
        <v>286959302</v>
      </c>
      <c r="I84" s="7">
        <v>42712</v>
      </c>
      <c r="J84" s="10">
        <v>6489</v>
      </c>
      <c r="K84" s="9">
        <v>437.2</v>
      </c>
      <c r="L84" s="9">
        <v>263.33</v>
      </c>
      <c r="M84" s="11">
        <v>2836990.8</v>
      </c>
      <c r="N84" s="11">
        <v>1708748.37</v>
      </c>
      <c r="O84" s="11">
        <v>1128242.43</v>
      </c>
      <c r="P84" s="37">
        <f t="shared" si="3"/>
        <v>0.39768984446477584</v>
      </c>
    </row>
    <row r="85" spans="1:16" x14ac:dyDescent="0.25">
      <c r="A85" s="6" t="s">
        <v>28</v>
      </c>
      <c r="B85" s="6" t="s">
        <v>107</v>
      </c>
      <c r="C85" s="6" t="s">
        <v>58</v>
      </c>
      <c r="D85" s="6" t="s">
        <v>22</v>
      </c>
      <c r="E85" s="6" t="s">
        <v>27</v>
      </c>
      <c r="F85" s="7">
        <v>40547</v>
      </c>
      <c r="G85" s="8">
        <f t="shared" si="2"/>
        <v>2011</v>
      </c>
      <c r="H85" s="9">
        <v>122583663</v>
      </c>
      <c r="I85" s="7">
        <v>40548</v>
      </c>
      <c r="J85" s="10">
        <v>4085</v>
      </c>
      <c r="K85" s="9">
        <v>152.58000000000001</v>
      </c>
      <c r="L85" s="9">
        <v>97.44</v>
      </c>
      <c r="M85" s="11">
        <v>623289.30000000005</v>
      </c>
      <c r="N85" s="11">
        <v>398042.4</v>
      </c>
      <c r="O85" s="11">
        <v>225246.9</v>
      </c>
      <c r="P85" s="37">
        <f t="shared" si="3"/>
        <v>0.36138419189933146</v>
      </c>
    </row>
    <row r="86" spans="1:16" x14ac:dyDescent="0.25">
      <c r="A86" s="6" t="s">
        <v>28</v>
      </c>
      <c r="B86" s="6" t="s">
        <v>108</v>
      </c>
      <c r="C86" s="6" t="s">
        <v>37</v>
      </c>
      <c r="D86" s="6" t="s">
        <v>22</v>
      </c>
      <c r="E86" s="6" t="s">
        <v>27</v>
      </c>
      <c r="F86" s="7">
        <v>40986</v>
      </c>
      <c r="G86" s="8">
        <f t="shared" si="2"/>
        <v>2012</v>
      </c>
      <c r="H86" s="9">
        <v>827844560</v>
      </c>
      <c r="I86" s="7">
        <v>41006</v>
      </c>
      <c r="J86" s="10">
        <v>6457</v>
      </c>
      <c r="K86" s="9">
        <v>154.06</v>
      </c>
      <c r="L86" s="9">
        <v>90.93</v>
      </c>
      <c r="M86" s="11">
        <v>994765.42</v>
      </c>
      <c r="N86" s="11">
        <v>587135.01</v>
      </c>
      <c r="O86" s="11">
        <v>407630.41</v>
      </c>
      <c r="P86" s="37">
        <f t="shared" si="3"/>
        <v>0.40977541217707381</v>
      </c>
    </row>
    <row r="87" spans="1:16" x14ac:dyDescent="0.25">
      <c r="A87" s="6" t="s">
        <v>98</v>
      </c>
      <c r="B87" s="6" t="s">
        <v>99</v>
      </c>
      <c r="C87" s="6" t="s">
        <v>39</v>
      </c>
      <c r="D87" s="6" t="s">
        <v>17</v>
      </c>
      <c r="E87" s="6" t="s">
        <v>27</v>
      </c>
      <c r="F87" s="7">
        <v>40956</v>
      </c>
      <c r="G87" s="8">
        <f t="shared" si="2"/>
        <v>2012</v>
      </c>
      <c r="H87" s="9">
        <v>430915820</v>
      </c>
      <c r="I87" s="7">
        <v>40988</v>
      </c>
      <c r="J87" s="10">
        <v>6422</v>
      </c>
      <c r="K87" s="9">
        <v>81.73</v>
      </c>
      <c r="L87" s="9">
        <v>56.67</v>
      </c>
      <c r="M87" s="11">
        <v>524870.06000000006</v>
      </c>
      <c r="N87" s="11">
        <v>363934.74</v>
      </c>
      <c r="O87" s="11">
        <v>160935.32</v>
      </c>
      <c r="P87" s="37">
        <f t="shared" si="3"/>
        <v>0.30661935641747212</v>
      </c>
    </row>
    <row r="88" spans="1:16" x14ac:dyDescent="0.25">
      <c r="A88" s="6" t="s">
        <v>28</v>
      </c>
      <c r="B88" s="6" t="s">
        <v>29</v>
      </c>
      <c r="C88" s="6" t="s">
        <v>52</v>
      </c>
      <c r="D88" s="6" t="s">
        <v>17</v>
      </c>
      <c r="E88" s="6" t="s">
        <v>23</v>
      </c>
      <c r="F88" s="7">
        <v>40559</v>
      </c>
      <c r="G88" s="8">
        <f t="shared" si="2"/>
        <v>2011</v>
      </c>
      <c r="H88" s="9">
        <v>180283772</v>
      </c>
      <c r="I88" s="7">
        <v>40564</v>
      </c>
      <c r="J88" s="10">
        <v>8829</v>
      </c>
      <c r="K88" s="9">
        <v>47.45</v>
      </c>
      <c r="L88" s="9">
        <v>31.79</v>
      </c>
      <c r="M88" s="11">
        <v>418936.05</v>
      </c>
      <c r="N88" s="11">
        <v>280673.90999999997</v>
      </c>
      <c r="O88" s="11">
        <v>138262.14000000001</v>
      </c>
      <c r="P88" s="37">
        <f t="shared" si="3"/>
        <v>0.33003161222339311</v>
      </c>
    </row>
    <row r="89" spans="1:16" x14ac:dyDescent="0.25">
      <c r="A89" s="6" t="s">
        <v>28</v>
      </c>
      <c r="B89" s="6" t="s">
        <v>64</v>
      </c>
      <c r="C89" s="6" t="s">
        <v>16</v>
      </c>
      <c r="D89" s="6" t="s">
        <v>17</v>
      </c>
      <c r="E89" s="6" t="s">
        <v>35</v>
      </c>
      <c r="F89" s="7">
        <v>41673</v>
      </c>
      <c r="G89" s="8">
        <f t="shared" si="2"/>
        <v>2014</v>
      </c>
      <c r="H89" s="9">
        <v>494747245</v>
      </c>
      <c r="I89" s="7">
        <v>41718</v>
      </c>
      <c r="J89" s="10">
        <v>5559</v>
      </c>
      <c r="K89" s="9">
        <v>255.28</v>
      </c>
      <c r="L89" s="9">
        <v>159.41999999999999</v>
      </c>
      <c r="M89" s="11">
        <v>1419101.52</v>
      </c>
      <c r="N89" s="11">
        <v>886215.78</v>
      </c>
      <c r="O89" s="11">
        <v>532885.74</v>
      </c>
      <c r="P89" s="37">
        <f t="shared" si="3"/>
        <v>0.37550924475086178</v>
      </c>
    </row>
    <row r="90" spans="1:16" x14ac:dyDescent="0.25">
      <c r="A90" s="6" t="s">
        <v>71</v>
      </c>
      <c r="B90" s="6" t="s">
        <v>109</v>
      </c>
      <c r="C90" s="6" t="s">
        <v>30</v>
      </c>
      <c r="D90" s="6" t="s">
        <v>22</v>
      </c>
      <c r="E90" s="6" t="s">
        <v>35</v>
      </c>
      <c r="F90" s="7">
        <v>41029</v>
      </c>
      <c r="G90" s="8">
        <f t="shared" si="2"/>
        <v>2012</v>
      </c>
      <c r="H90" s="9">
        <v>513417565</v>
      </c>
      <c r="I90" s="7">
        <v>41047</v>
      </c>
      <c r="J90" s="10">
        <v>522</v>
      </c>
      <c r="K90" s="9">
        <v>9.33</v>
      </c>
      <c r="L90" s="9">
        <v>6.92</v>
      </c>
      <c r="M90" s="11">
        <v>4870.26</v>
      </c>
      <c r="N90" s="11">
        <v>3612.24</v>
      </c>
      <c r="O90" s="11">
        <v>1258.02</v>
      </c>
      <c r="P90" s="37">
        <f t="shared" si="3"/>
        <v>0.25830653804930331</v>
      </c>
    </row>
    <row r="91" spans="1:16" x14ac:dyDescent="0.25">
      <c r="A91" s="6" t="s">
        <v>24</v>
      </c>
      <c r="B91" s="6" t="s">
        <v>110</v>
      </c>
      <c r="C91" s="6" t="s">
        <v>52</v>
      </c>
      <c r="D91" s="6" t="s">
        <v>17</v>
      </c>
      <c r="E91" s="6" t="s">
        <v>23</v>
      </c>
      <c r="F91" s="7">
        <v>42666</v>
      </c>
      <c r="G91" s="8">
        <f t="shared" si="2"/>
        <v>2016</v>
      </c>
      <c r="H91" s="9">
        <v>345718562</v>
      </c>
      <c r="I91" s="7">
        <v>42699</v>
      </c>
      <c r="J91" s="10">
        <v>4660</v>
      </c>
      <c r="K91" s="9">
        <v>47.45</v>
      </c>
      <c r="L91" s="9">
        <v>31.79</v>
      </c>
      <c r="M91" s="11">
        <v>221117</v>
      </c>
      <c r="N91" s="11">
        <v>148141.4</v>
      </c>
      <c r="O91" s="11">
        <v>72975.600000000006</v>
      </c>
      <c r="P91" s="37">
        <f t="shared" si="3"/>
        <v>0.33003161222339306</v>
      </c>
    </row>
    <row r="92" spans="1:16" x14ac:dyDescent="0.25">
      <c r="A92" s="6" t="s">
        <v>28</v>
      </c>
      <c r="B92" s="6" t="s">
        <v>84</v>
      </c>
      <c r="C92" s="6" t="s">
        <v>26</v>
      </c>
      <c r="D92" s="6" t="s">
        <v>17</v>
      </c>
      <c r="E92" s="6" t="s">
        <v>18</v>
      </c>
      <c r="F92" s="7">
        <v>42710</v>
      </c>
      <c r="G92" s="8">
        <f t="shared" si="2"/>
        <v>2016</v>
      </c>
      <c r="H92" s="9">
        <v>621386563</v>
      </c>
      <c r="I92" s="7">
        <v>42718</v>
      </c>
      <c r="J92" s="10">
        <v>948</v>
      </c>
      <c r="K92" s="9">
        <v>651.21</v>
      </c>
      <c r="L92" s="9">
        <v>524.96</v>
      </c>
      <c r="M92" s="11">
        <v>617347.07999999996</v>
      </c>
      <c r="N92" s="11">
        <v>497662.08</v>
      </c>
      <c r="O92" s="11">
        <v>119685</v>
      </c>
      <c r="P92" s="37">
        <f t="shared" si="3"/>
        <v>0.19386987300563568</v>
      </c>
    </row>
    <row r="93" spans="1:16" x14ac:dyDescent="0.25">
      <c r="A93" s="6" t="s">
        <v>14</v>
      </c>
      <c r="B93" s="6" t="s">
        <v>67</v>
      </c>
      <c r="C93" s="6" t="s">
        <v>52</v>
      </c>
      <c r="D93" s="6" t="s">
        <v>17</v>
      </c>
      <c r="E93" s="6" t="s">
        <v>18</v>
      </c>
      <c r="F93" s="7">
        <v>41827</v>
      </c>
      <c r="G93" s="8">
        <f t="shared" si="2"/>
        <v>2014</v>
      </c>
      <c r="H93" s="9">
        <v>240470397</v>
      </c>
      <c r="I93" s="7">
        <v>41831</v>
      </c>
      <c r="J93" s="10">
        <v>9389</v>
      </c>
      <c r="K93" s="9">
        <v>47.45</v>
      </c>
      <c r="L93" s="9">
        <v>31.79</v>
      </c>
      <c r="M93" s="11">
        <v>445508.05</v>
      </c>
      <c r="N93" s="11">
        <v>298476.31</v>
      </c>
      <c r="O93" s="11">
        <v>147031.74</v>
      </c>
      <c r="P93" s="37">
        <f t="shared" si="3"/>
        <v>0.33003161222339306</v>
      </c>
    </row>
    <row r="94" spans="1:16" x14ac:dyDescent="0.25">
      <c r="A94" s="6" t="s">
        <v>71</v>
      </c>
      <c r="B94" s="6" t="s">
        <v>75</v>
      </c>
      <c r="C94" s="6" t="s">
        <v>26</v>
      </c>
      <c r="D94" s="6" t="s">
        <v>22</v>
      </c>
      <c r="E94" s="6" t="s">
        <v>35</v>
      </c>
      <c r="F94" s="7">
        <v>41073</v>
      </c>
      <c r="G94" s="8">
        <f t="shared" si="2"/>
        <v>2012</v>
      </c>
      <c r="H94" s="9">
        <v>423331391</v>
      </c>
      <c r="I94" s="7">
        <v>41114</v>
      </c>
      <c r="J94" s="10">
        <v>2021</v>
      </c>
      <c r="K94" s="9">
        <v>651.21</v>
      </c>
      <c r="L94" s="9">
        <v>524.96</v>
      </c>
      <c r="M94" s="11">
        <v>1316095.4099999999</v>
      </c>
      <c r="N94" s="11">
        <v>1060944.1599999999</v>
      </c>
      <c r="O94" s="11">
        <v>255151.25</v>
      </c>
      <c r="P94" s="37">
        <f t="shared" si="3"/>
        <v>0.19386987300563568</v>
      </c>
    </row>
    <row r="95" spans="1:16" x14ac:dyDescent="0.25">
      <c r="A95" s="6" t="s">
        <v>24</v>
      </c>
      <c r="B95" s="6" t="s">
        <v>111</v>
      </c>
      <c r="C95" s="6" t="s">
        <v>50</v>
      </c>
      <c r="D95" s="6" t="s">
        <v>22</v>
      </c>
      <c r="E95" s="6" t="s">
        <v>18</v>
      </c>
      <c r="F95" s="7">
        <v>40508</v>
      </c>
      <c r="G95" s="8">
        <f t="shared" si="2"/>
        <v>2010</v>
      </c>
      <c r="H95" s="9">
        <v>660643374</v>
      </c>
      <c r="I95" s="7">
        <v>40537</v>
      </c>
      <c r="J95" s="10">
        <v>7910</v>
      </c>
      <c r="K95" s="9">
        <v>437.2</v>
      </c>
      <c r="L95" s="9">
        <v>263.33</v>
      </c>
      <c r="M95" s="11">
        <v>3458252</v>
      </c>
      <c r="N95" s="11">
        <v>2082940.3</v>
      </c>
      <c r="O95" s="11">
        <v>1375311.7</v>
      </c>
      <c r="P95" s="37">
        <f t="shared" si="3"/>
        <v>0.39768984446477584</v>
      </c>
    </row>
    <row r="96" spans="1:16" x14ac:dyDescent="0.25">
      <c r="A96" s="6" t="s">
        <v>19</v>
      </c>
      <c r="B96" s="6" t="s">
        <v>112</v>
      </c>
      <c r="C96" s="6" t="s">
        <v>52</v>
      </c>
      <c r="D96" s="6" t="s">
        <v>17</v>
      </c>
      <c r="E96" s="6" t="s">
        <v>23</v>
      </c>
      <c r="F96" s="7">
        <v>40582</v>
      </c>
      <c r="G96" s="8">
        <f t="shared" si="2"/>
        <v>2011</v>
      </c>
      <c r="H96" s="9">
        <v>963392674</v>
      </c>
      <c r="I96" s="7">
        <v>40623</v>
      </c>
      <c r="J96" s="10">
        <v>8156</v>
      </c>
      <c r="K96" s="9">
        <v>47.45</v>
      </c>
      <c r="L96" s="9">
        <v>31.79</v>
      </c>
      <c r="M96" s="11">
        <v>387002.2</v>
      </c>
      <c r="N96" s="11">
        <v>259279.24</v>
      </c>
      <c r="O96" s="11">
        <v>127722.96</v>
      </c>
      <c r="P96" s="37">
        <f t="shared" si="3"/>
        <v>0.33003161222339306</v>
      </c>
    </row>
    <row r="97" spans="1:16" x14ac:dyDescent="0.25">
      <c r="A97" s="6" t="s">
        <v>28</v>
      </c>
      <c r="B97" s="6" t="s">
        <v>63</v>
      </c>
      <c r="C97" s="6" t="s">
        <v>44</v>
      </c>
      <c r="D97" s="6" t="s">
        <v>22</v>
      </c>
      <c r="E97" s="6" t="s">
        <v>35</v>
      </c>
      <c r="F97" s="7">
        <v>40750</v>
      </c>
      <c r="G97" s="8">
        <f t="shared" si="2"/>
        <v>2011</v>
      </c>
      <c r="H97" s="9">
        <v>512878119</v>
      </c>
      <c r="I97" s="7">
        <v>40789</v>
      </c>
      <c r="J97" s="10">
        <v>888</v>
      </c>
      <c r="K97" s="9">
        <v>109.28</v>
      </c>
      <c r="L97" s="9">
        <v>35.840000000000003</v>
      </c>
      <c r="M97" s="11">
        <v>97040.639999999999</v>
      </c>
      <c r="N97" s="11">
        <v>31825.919999999998</v>
      </c>
      <c r="O97" s="11">
        <v>65214.720000000001</v>
      </c>
      <c r="P97" s="37">
        <f t="shared" si="3"/>
        <v>0.67203513909224011</v>
      </c>
    </row>
    <row r="98" spans="1:16" x14ac:dyDescent="0.25">
      <c r="A98" s="6" t="s">
        <v>41</v>
      </c>
      <c r="B98" s="6" t="s">
        <v>113</v>
      </c>
      <c r="C98" s="6" t="s">
        <v>30</v>
      </c>
      <c r="D98" s="6" t="s">
        <v>17</v>
      </c>
      <c r="E98" s="6" t="s">
        <v>27</v>
      </c>
      <c r="F98" s="7">
        <v>40858</v>
      </c>
      <c r="G98" s="8">
        <f t="shared" si="2"/>
        <v>2011</v>
      </c>
      <c r="H98" s="9">
        <v>810711038</v>
      </c>
      <c r="I98" s="7">
        <v>40905</v>
      </c>
      <c r="J98" s="10">
        <v>6267</v>
      </c>
      <c r="K98" s="9">
        <v>9.33</v>
      </c>
      <c r="L98" s="9">
        <v>6.92</v>
      </c>
      <c r="M98" s="11">
        <v>58471.11</v>
      </c>
      <c r="N98" s="11">
        <v>43367.64</v>
      </c>
      <c r="O98" s="11">
        <v>15103.47</v>
      </c>
      <c r="P98" s="37">
        <f t="shared" si="3"/>
        <v>0.25830653804930331</v>
      </c>
    </row>
    <row r="99" spans="1:16" x14ac:dyDescent="0.25">
      <c r="A99" s="6" t="s">
        <v>28</v>
      </c>
      <c r="B99" s="6" t="s">
        <v>84</v>
      </c>
      <c r="C99" s="6" t="s">
        <v>37</v>
      </c>
      <c r="D99" s="6" t="s">
        <v>17</v>
      </c>
      <c r="E99" s="6" t="s">
        <v>23</v>
      </c>
      <c r="F99" s="7">
        <v>42522</v>
      </c>
      <c r="G99" s="8">
        <f t="shared" si="2"/>
        <v>2016</v>
      </c>
      <c r="H99" s="9">
        <v>728815257</v>
      </c>
      <c r="I99" s="7">
        <v>42550</v>
      </c>
      <c r="J99" s="10">
        <v>1485</v>
      </c>
      <c r="K99" s="9">
        <v>154.06</v>
      </c>
      <c r="L99" s="9">
        <v>90.93</v>
      </c>
      <c r="M99" s="11">
        <v>228779.1</v>
      </c>
      <c r="N99" s="11">
        <v>135031.04999999999</v>
      </c>
      <c r="O99" s="11">
        <v>93748.05</v>
      </c>
      <c r="P99" s="37">
        <f t="shared" si="3"/>
        <v>0.40977541217707386</v>
      </c>
    </row>
    <row r="100" spans="1:16" x14ac:dyDescent="0.25">
      <c r="A100" s="6" t="s">
        <v>98</v>
      </c>
      <c r="B100" s="6" t="s">
        <v>99</v>
      </c>
      <c r="C100" s="6" t="s">
        <v>39</v>
      </c>
      <c r="D100" s="6" t="s">
        <v>17</v>
      </c>
      <c r="E100" s="6" t="s">
        <v>35</v>
      </c>
      <c r="F100" s="7">
        <v>42215</v>
      </c>
      <c r="G100" s="8">
        <f t="shared" si="2"/>
        <v>2015</v>
      </c>
      <c r="H100" s="9">
        <v>559427106</v>
      </c>
      <c r="I100" s="7">
        <v>42224</v>
      </c>
      <c r="J100" s="10">
        <v>5767</v>
      </c>
      <c r="K100" s="9">
        <v>81.73</v>
      </c>
      <c r="L100" s="9">
        <v>56.67</v>
      </c>
      <c r="M100" s="11">
        <v>471336.91</v>
      </c>
      <c r="N100" s="11">
        <v>326815.89</v>
      </c>
      <c r="O100" s="11">
        <v>144521.01999999999</v>
      </c>
      <c r="P100" s="37">
        <f t="shared" si="3"/>
        <v>0.30661935641747218</v>
      </c>
    </row>
    <row r="101" spans="1:16" x14ac:dyDescent="0.25">
      <c r="A101" s="6" t="s">
        <v>28</v>
      </c>
      <c r="B101" s="6" t="s">
        <v>114</v>
      </c>
      <c r="C101" s="6" t="s">
        <v>34</v>
      </c>
      <c r="D101" s="6" t="s">
        <v>17</v>
      </c>
      <c r="E101" s="6" t="s">
        <v>27</v>
      </c>
      <c r="F101" s="7">
        <v>40949</v>
      </c>
      <c r="G101" s="8">
        <f t="shared" si="2"/>
        <v>2012</v>
      </c>
      <c r="H101" s="9">
        <v>665095412</v>
      </c>
      <c r="I101" s="7">
        <v>40954</v>
      </c>
      <c r="J101" s="10">
        <v>5367</v>
      </c>
      <c r="K101" s="9">
        <v>668.27</v>
      </c>
      <c r="L101" s="9">
        <v>502.54</v>
      </c>
      <c r="M101" s="11">
        <v>3586605.09</v>
      </c>
      <c r="N101" s="11">
        <v>2697132.18</v>
      </c>
      <c r="O101" s="11">
        <v>889472.91</v>
      </c>
      <c r="P101" s="37">
        <f t="shared" si="3"/>
        <v>0.24799856345489102</v>
      </c>
    </row>
    <row r="102" spans="1:16" x14ac:dyDescent="0.25">
      <c r="J102" s="16">
        <f>SUM(J2:J101)</f>
        <v>512871</v>
      </c>
      <c r="L102" s="17">
        <f>SUM(L2:L101)</f>
        <v>19104.800000000007</v>
      </c>
      <c r="M102" s="17">
        <f t="shared" ref="M102:O102" si="4">SUM(M2:M101)</f>
        <v>137348768.30999997</v>
      </c>
      <c r="N102" s="17">
        <f t="shared" si="4"/>
        <v>93180569.909999982</v>
      </c>
      <c r="O102" s="17">
        <f t="shared" si="4"/>
        <v>44168198.399999991</v>
      </c>
      <c r="P102" s="37">
        <f t="shared" si="3"/>
        <v>0.32157695291676108</v>
      </c>
    </row>
  </sheetData>
  <autoFilter ref="A1:O102" xr:uid="{94D4A07C-5D79-4258-A4E1-8C7BD9F60BD2}"/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101"/>
  <sheetViews>
    <sheetView topLeftCell="D1" workbookViewId="0">
      <selection activeCell="L6" sqref="L6"/>
    </sheetView>
  </sheetViews>
  <sheetFormatPr defaultRowHeight="15" x14ac:dyDescent="0.25"/>
  <cols>
    <col min="1" max="1" width="15.140625" customWidth="1"/>
    <col min="2" max="2" width="31.5703125" bestFit="1" customWidth="1"/>
    <col min="3" max="3" width="14.5703125" customWidth="1"/>
    <col min="5" max="5" width="13.28515625" bestFit="1" customWidth="1"/>
    <col min="6" max="6" width="17.42578125" bestFit="1" customWidth="1"/>
    <col min="7" max="7" width="10" style="1" bestFit="1" customWidth="1"/>
    <col min="8" max="9" width="17.42578125" bestFit="1" customWidth="1"/>
    <col min="10" max="10" width="16.28515625" bestFit="1" customWidth="1"/>
    <col min="11" max="11" width="16.140625" bestFit="1" customWidth="1"/>
    <col min="12" max="12" width="17.42578125" bestFit="1" customWidth="1"/>
    <col min="13" max="13" width="17.28515625" bestFit="1" customWidth="1"/>
    <col min="14" max="14" width="17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40326</v>
      </c>
      <c r="G2" s="1">
        <v>669165933</v>
      </c>
      <c r="H2">
        <v>40356</v>
      </c>
      <c r="I2">
        <v>9925</v>
      </c>
      <c r="J2">
        <v>255.28</v>
      </c>
      <c r="K2">
        <v>159.41999999999999</v>
      </c>
      <c r="L2">
        <v>2533654</v>
      </c>
      <c r="M2">
        <v>1582243.5</v>
      </c>
      <c r="N2">
        <v>951410.5</v>
      </c>
    </row>
    <row r="3" spans="1:14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41143</v>
      </c>
      <c r="G3" s="1">
        <v>963881480</v>
      </c>
      <c r="H3">
        <v>41167</v>
      </c>
      <c r="I3">
        <v>2804</v>
      </c>
      <c r="J3">
        <v>205.7</v>
      </c>
      <c r="K3">
        <v>117.11</v>
      </c>
      <c r="L3">
        <v>576782.80000000005</v>
      </c>
      <c r="M3">
        <v>328376.44</v>
      </c>
      <c r="N3">
        <v>248406.36</v>
      </c>
    </row>
    <row r="4" spans="1:14" x14ac:dyDescent="0.25">
      <c r="A4" t="s">
        <v>24</v>
      </c>
      <c r="B4" t="s">
        <v>25</v>
      </c>
      <c r="C4" t="s">
        <v>26</v>
      </c>
      <c r="D4" t="s">
        <v>17</v>
      </c>
      <c r="E4" t="s">
        <v>27</v>
      </c>
      <c r="F4">
        <v>41761</v>
      </c>
      <c r="G4" s="1">
        <v>341417157</v>
      </c>
      <c r="H4">
        <v>41767</v>
      </c>
      <c r="I4">
        <v>1779</v>
      </c>
      <c r="J4">
        <v>651.21</v>
      </c>
      <c r="K4">
        <v>524.96</v>
      </c>
      <c r="L4">
        <v>1158502.5900000001</v>
      </c>
      <c r="M4">
        <v>933903.84</v>
      </c>
      <c r="N4">
        <v>224598.75</v>
      </c>
    </row>
    <row r="5" spans="1:14" x14ac:dyDescent="0.25">
      <c r="A5" t="s">
        <v>28</v>
      </c>
      <c r="B5" t="s">
        <v>29</v>
      </c>
      <c r="C5" t="s">
        <v>30</v>
      </c>
      <c r="D5" t="s">
        <v>22</v>
      </c>
      <c r="E5" t="s">
        <v>23</v>
      </c>
      <c r="F5">
        <v>41810</v>
      </c>
      <c r="G5" s="1">
        <v>514321792</v>
      </c>
      <c r="H5">
        <v>41825</v>
      </c>
      <c r="I5">
        <v>8102</v>
      </c>
      <c r="J5">
        <v>9.33</v>
      </c>
      <c r="K5">
        <v>6.92</v>
      </c>
      <c r="L5">
        <v>75591.66</v>
      </c>
      <c r="M5">
        <v>56065.84</v>
      </c>
      <c r="N5">
        <v>19525.82</v>
      </c>
    </row>
    <row r="6" spans="1:14" x14ac:dyDescent="0.25">
      <c r="A6" t="s">
        <v>28</v>
      </c>
      <c r="B6" t="s">
        <v>31</v>
      </c>
      <c r="C6" t="s">
        <v>26</v>
      </c>
      <c r="D6" t="s">
        <v>17</v>
      </c>
      <c r="E6" t="s">
        <v>27</v>
      </c>
      <c r="F6">
        <v>41306</v>
      </c>
      <c r="G6" s="1">
        <v>115456712</v>
      </c>
      <c r="H6">
        <v>41311</v>
      </c>
      <c r="I6">
        <v>5062</v>
      </c>
      <c r="J6">
        <v>651.21</v>
      </c>
      <c r="K6">
        <v>524.96</v>
      </c>
      <c r="L6">
        <v>3296425.02</v>
      </c>
      <c r="M6">
        <v>2657347.52</v>
      </c>
      <c r="N6">
        <v>639077.5</v>
      </c>
    </row>
    <row r="7" spans="1:14" x14ac:dyDescent="0.25">
      <c r="A7" t="s">
        <v>14</v>
      </c>
      <c r="B7" t="s">
        <v>32</v>
      </c>
      <c r="C7" t="s">
        <v>16</v>
      </c>
      <c r="D7" t="s">
        <v>22</v>
      </c>
      <c r="E7" t="s">
        <v>23</v>
      </c>
      <c r="F7">
        <v>42039</v>
      </c>
      <c r="G7" s="1">
        <v>547995746</v>
      </c>
      <c r="H7">
        <v>42056</v>
      </c>
      <c r="I7">
        <v>2974</v>
      </c>
      <c r="J7">
        <v>255.28</v>
      </c>
      <c r="K7">
        <v>159.41999999999999</v>
      </c>
      <c r="L7">
        <v>759202.72</v>
      </c>
      <c r="M7">
        <v>474115.08</v>
      </c>
      <c r="N7">
        <v>285087.64</v>
      </c>
    </row>
    <row r="8" spans="1:14" x14ac:dyDescent="0.25">
      <c r="A8" t="s">
        <v>28</v>
      </c>
      <c r="B8" t="s">
        <v>33</v>
      </c>
      <c r="C8" t="s">
        <v>34</v>
      </c>
      <c r="D8" t="s">
        <v>17</v>
      </c>
      <c r="E8" t="s">
        <v>35</v>
      </c>
      <c r="F8">
        <v>40656</v>
      </c>
      <c r="G8" s="1">
        <v>135425221</v>
      </c>
      <c r="H8">
        <v>40660</v>
      </c>
      <c r="I8">
        <v>4187</v>
      </c>
      <c r="J8">
        <v>668.27</v>
      </c>
      <c r="K8">
        <v>502.54</v>
      </c>
      <c r="L8">
        <v>2798046.49</v>
      </c>
      <c r="M8">
        <v>2104134.98</v>
      </c>
      <c r="N8">
        <v>693911.51</v>
      </c>
    </row>
    <row r="9" spans="1:14" x14ac:dyDescent="0.25">
      <c r="A9" t="s">
        <v>28</v>
      </c>
      <c r="B9" t="s">
        <v>36</v>
      </c>
      <c r="C9" t="s">
        <v>37</v>
      </c>
      <c r="D9" t="s">
        <v>22</v>
      </c>
      <c r="E9" t="s">
        <v>18</v>
      </c>
      <c r="F9">
        <v>41107</v>
      </c>
      <c r="G9" s="1">
        <v>871543967</v>
      </c>
      <c r="H9">
        <v>41117</v>
      </c>
      <c r="I9">
        <v>8082</v>
      </c>
      <c r="J9">
        <v>154.06</v>
      </c>
      <c r="K9">
        <v>90.93</v>
      </c>
      <c r="L9">
        <v>1245112.92</v>
      </c>
      <c r="M9">
        <v>734896.26</v>
      </c>
      <c r="N9">
        <v>510216.66</v>
      </c>
    </row>
    <row r="10" spans="1:14" x14ac:dyDescent="0.25">
      <c r="A10" t="s">
        <v>28</v>
      </c>
      <c r="B10" t="s">
        <v>38</v>
      </c>
      <c r="C10" t="s">
        <v>39</v>
      </c>
      <c r="D10" t="s">
        <v>17</v>
      </c>
      <c r="E10" t="s">
        <v>35</v>
      </c>
      <c r="F10">
        <v>42199</v>
      </c>
      <c r="G10" s="1">
        <v>770463311</v>
      </c>
      <c r="H10">
        <v>42241</v>
      </c>
      <c r="I10">
        <v>6070</v>
      </c>
      <c r="J10">
        <v>81.73</v>
      </c>
      <c r="K10">
        <v>56.67</v>
      </c>
      <c r="L10">
        <v>496101.1</v>
      </c>
      <c r="M10">
        <v>343986.9</v>
      </c>
      <c r="N10">
        <v>152114.20000000001</v>
      </c>
    </row>
    <row r="11" spans="1:14" x14ac:dyDescent="0.25">
      <c r="A11" t="s">
        <v>28</v>
      </c>
      <c r="B11" t="s">
        <v>40</v>
      </c>
      <c r="C11" t="s">
        <v>21</v>
      </c>
      <c r="D11" t="s">
        <v>22</v>
      </c>
      <c r="E11" t="s">
        <v>18</v>
      </c>
      <c r="F11">
        <v>41747</v>
      </c>
      <c r="G11" s="1">
        <v>616607081</v>
      </c>
      <c r="H11">
        <v>41789</v>
      </c>
      <c r="I11">
        <v>6593</v>
      </c>
      <c r="J11">
        <v>205.7</v>
      </c>
      <c r="K11">
        <v>117.11</v>
      </c>
      <c r="L11">
        <v>1356180.1</v>
      </c>
      <c r="M11">
        <v>772106.23</v>
      </c>
      <c r="N11">
        <v>584073.87</v>
      </c>
    </row>
    <row r="12" spans="1:14" x14ac:dyDescent="0.25">
      <c r="A12" t="s">
        <v>41</v>
      </c>
      <c r="B12" t="s">
        <v>42</v>
      </c>
      <c r="C12" t="s">
        <v>37</v>
      </c>
      <c r="D12" t="s">
        <v>22</v>
      </c>
      <c r="E12" t="s">
        <v>18</v>
      </c>
      <c r="F12">
        <v>40718</v>
      </c>
      <c r="G12" s="1">
        <v>814711606</v>
      </c>
      <c r="H12">
        <v>40736</v>
      </c>
      <c r="I12">
        <v>124</v>
      </c>
      <c r="J12">
        <v>154.06</v>
      </c>
      <c r="K12">
        <v>90.93</v>
      </c>
      <c r="L12">
        <v>19103.439999999999</v>
      </c>
      <c r="M12">
        <v>11275.32</v>
      </c>
      <c r="N12">
        <v>7828.12</v>
      </c>
    </row>
    <row r="13" spans="1:14" x14ac:dyDescent="0.25">
      <c r="A13" t="s">
        <v>28</v>
      </c>
      <c r="B13" t="s">
        <v>43</v>
      </c>
      <c r="C13" t="s">
        <v>44</v>
      </c>
      <c r="D13" t="s">
        <v>17</v>
      </c>
      <c r="E13" t="s">
        <v>18</v>
      </c>
      <c r="F13">
        <v>41853</v>
      </c>
      <c r="G13" s="1">
        <v>939825713</v>
      </c>
      <c r="H13">
        <v>41870</v>
      </c>
      <c r="I13">
        <v>4168</v>
      </c>
      <c r="J13">
        <v>109.28</v>
      </c>
      <c r="K13">
        <v>35.840000000000003</v>
      </c>
      <c r="L13">
        <v>455479.03999999998</v>
      </c>
      <c r="M13">
        <v>149381.12</v>
      </c>
      <c r="N13">
        <v>306097.91999999998</v>
      </c>
    </row>
    <row r="14" spans="1:14" x14ac:dyDescent="0.25">
      <c r="A14" t="s">
        <v>41</v>
      </c>
      <c r="B14" t="s">
        <v>45</v>
      </c>
      <c r="C14" t="s">
        <v>44</v>
      </c>
      <c r="D14" t="s">
        <v>22</v>
      </c>
      <c r="E14" t="s">
        <v>27</v>
      </c>
      <c r="F14">
        <v>42748</v>
      </c>
      <c r="G14" s="1">
        <v>187310731</v>
      </c>
      <c r="H14">
        <v>42795</v>
      </c>
      <c r="I14">
        <v>8263</v>
      </c>
      <c r="J14">
        <v>109.28</v>
      </c>
      <c r="K14">
        <v>35.840000000000003</v>
      </c>
      <c r="L14">
        <v>902980.64</v>
      </c>
      <c r="M14">
        <v>296145.91999999998</v>
      </c>
      <c r="N14">
        <v>606834.72</v>
      </c>
    </row>
    <row r="15" spans="1:14" x14ac:dyDescent="0.25">
      <c r="A15" t="s">
        <v>19</v>
      </c>
      <c r="B15" t="s">
        <v>46</v>
      </c>
      <c r="C15" t="s">
        <v>34</v>
      </c>
      <c r="D15" t="s">
        <v>17</v>
      </c>
      <c r="E15" t="s">
        <v>18</v>
      </c>
      <c r="F15">
        <v>42774</v>
      </c>
      <c r="G15" s="1">
        <v>522840487</v>
      </c>
      <c r="H15">
        <v>42779</v>
      </c>
      <c r="I15">
        <v>8974</v>
      </c>
      <c r="J15">
        <v>668.27</v>
      </c>
      <c r="K15">
        <v>502.54</v>
      </c>
      <c r="L15">
        <v>5997054.9800000004</v>
      </c>
      <c r="M15">
        <v>4509793.96</v>
      </c>
      <c r="N15">
        <v>1487261.02</v>
      </c>
    </row>
    <row r="16" spans="1:14" x14ac:dyDescent="0.25">
      <c r="A16" t="s">
        <v>41</v>
      </c>
      <c r="B16" t="s">
        <v>47</v>
      </c>
      <c r="C16" t="s">
        <v>39</v>
      </c>
      <c r="D16" t="s">
        <v>17</v>
      </c>
      <c r="E16" t="s">
        <v>23</v>
      </c>
      <c r="F16">
        <v>41689</v>
      </c>
      <c r="G16" s="1">
        <v>832401311</v>
      </c>
      <c r="H16">
        <v>41693</v>
      </c>
      <c r="I16">
        <v>4901</v>
      </c>
      <c r="J16">
        <v>81.73</v>
      </c>
      <c r="K16">
        <v>56.67</v>
      </c>
      <c r="L16">
        <v>400558.73</v>
      </c>
      <c r="M16">
        <v>277739.67</v>
      </c>
      <c r="N16">
        <v>122819.06</v>
      </c>
    </row>
    <row r="17" spans="1:14" x14ac:dyDescent="0.25">
      <c r="A17" t="s">
        <v>24</v>
      </c>
      <c r="B17" t="s">
        <v>48</v>
      </c>
      <c r="C17" t="s">
        <v>44</v>
      </c>
      <c r="D17" t="s">
        <v>22</v>
      </c>
      <c r="E17" t="s">
        <v>35</v>
      </c>
      <c r="F17">
        <v>41022</v>
      </c>
      <c r="G17" s="1">
        <v>972292029</v>
      </c>
      <c r="H17">
        <v>41063</v>
      </c>
      <c r="I17">
        <v>1673</v>
      </c>
      <c r="J17">
        <v>109.28</v>
      </c>
      <c r="K17">
        <v>35.840000000000003</v>
      </c>
      <c r="L17">
        <v>182825.44</v>
      </c>
      <c r="M17">
        <v>59960.32</v>
      </c>
      <c r="N17">
        <v>122865.12</v>
      </c>
    </row>
    <row r="18" spans="1:14" x14ac:dyDescent="0.25">
      <c r="A18" t="s">
        <v>41</v>
      </c>
      <c r="B18" t="s">
        <v>49</v>
      </c>
      <c r="C18" t="s">
        <v>50</v>
      </c>
      <c r="D18" t="s">
        <v>17</v>
      </c>
      <c r="E18" t="s">
        <v>35</v>
      </c>
      <c r="F18">
        <v>42693</v>
      </c>
      <c r="G18" s="1">
        <v>419123971</v>
      </c>
      <c r="H18">
        <v>42722</v>
      </c>
      <c r="I18">
        <v>6952</v>
      </c>
      <c r="J18">
        <v>437.2</v>
      </c>
      <c r="K18">
        <v>263.33</v>
      </c>
      <c r="L18">
        <v>3039414.4</v>
      </c>
      <c r="M18">
        <v>1830670.16</v>
      </c>
      <c r="N18">
        <v>1208744.24</v>
      </c>
    </row>
    <row r="19" spans="1:14" x14ac:dyDescent="0.25">
      <c r="A19" t="s">
        <v>28</v>
      </c>
      <c r="B19" t="s">
        <v>51</v>
      </c>
      <c r="C19" t="s">
        <v>52</v>
      </c>
      <c r="D19" t="s">
        <v>17</v>
      </c>
      <c r="E19" t="s">
        <v>23</v>
      </c>
      <c r="F19">
        <v>42095</v>
      </c>
      <c r="G19" s="1">
        <v>519820964</v>
      </c>
      <c r="H19">
        <v>42112</v>
      </c>
      <c r="I19">
        <v>5430</v>
      </c>
      <c r="J19">
        <v>47.45</v>
      </c>
      <c r="K19">
        <v>31.79</v>
      </c>
      <c r="L19">
        <v>257653.5</v>
      </c>
      <c r="M19">
        <v>172619.7</v>
      </c>
      <c r="N19">
        <v>85033.8</v>
      </c>
    </row>
    <row r="20" spans="1:14" x14ac:dyDescent="0.25">
      <c r="A20" t="s">
        <v>41</v>
      </c>
      <c r="B20" t="s">
        <v>53</v>
      </c>
      <c r="C20" t="s">
        <v>34</v>
      </c>
      <c r="D20" t="s">
        <v>17</v>
      </c>
      <c r="E20" t="s">
        <v>27</v>
      </c>
      <c r="F20">
        <v>40542</v>
      </c>
      <c r="G20" s="1">
        <v>441619336</v>
      </c>
      <c r="H20">
        <v>40563</v>
      </c>
      <c r="I20">
        <v>3830</v>
      </c>
      <c r="J20">
        <v>668.27</v>
      </c>
      <c r="K20">
        <v>502.54</v>
      </c>
      <c r="L20">
        <v>2559474.1</v>
      </c>
      <c r="M20">
        <v>1924728.2</v>
      </c>
      <c r="N20">
        <v>634745.9</v>
      </c>
    </row>
    <row r="21" spans="1:14" x14ac:dyDescent="0.25">
      <c r="A21" t="s">
        <v>14</v>
      </c>
      <c r="B21" t="s">
        <v>54</v>
      </c>
      <c r="C21" t="s">
        <v>55</v>
      </c>
      <c r="D21" t="s">
        <v>22</v>
      </c>
      <c r="E21" t="s">
        <v>27</v>
      </c>
      <c r="F21">
        <v>41121</v>
      </c>
      <c r="G21" s="1">
        <v>322067916</v>
      </c>
      <c r="H21">
        <v>41163</v>
      </c>
      <c r="I21">
        <v>5908</v>
      </c>
      <c r="J21">
        <v>421.89</v>
      </c>
      <c r="K21">
        <v>364.69</v>
      </c>
      <c r="L21">
        <v>2492526.12</v>
      </c>
      <c r="M21">
        <v>2154588.52</v>
      </c>
      <c r="N21">
        <v>337937.6</v>
      </c>
    </row>
    <row r="22" spans="1:14" x14ac:dyDescent="0.25">
      <c r="A22" t="s">
        <v>24</v>
      </c>
      <c r="B22" t="s">
        <v>56</v>
      </c>
      <c r="C22" t="s">
        <v>16</v>
      </c>
      <c r="D22" t="s">
        <v>22</v>
      </c>
      <c r="E22" t="s">
        <v>27</v>
      </c>
      <c r="F22">
        <v>41773</v>
      </c>
      <c r="G22" s="1">
        <v>819028031</v>
      </c>
      <c r="H22">
        <v>41818</v>
      </c>
      <c r="I22">
        <v>7450</v>
      </c>
      <c r="J22">
        <v>255.28</v>
      </c>
      <c r="K22">
        <v>159.41999999999999</v>
      </c>
      <c r="L22">
        <v>1901836</v>
      </c>
      <c r="M22">
        <v>1187679</v>
      </c>
      <c r="N22">
        <v>714157</v>
      </c>
    </row>
    <row r="23" spans="1:14" x14ac:dyDescent="0.25">
      <c r="A23" t="s">
        <v>24</v>
      </c>
      <c r="B23" t="s">
        <v>57</v>
      </c>
      <c r="C23" t="s">
        <v>16</v>
      </c>
      <c r="D23" t="s">
        <v>22</v>
      </c>
      <c r="E23" t="s">
        <v>18</v>
      </c>
      <c r="F23">
        <v>42216</v>
      </c>
      <c r="G23" s="1">
        <v>860673511</v>
      </c>
      <c r="H23">
        <v>42250</v>
      </c>
      <c r="I23">
        <v>1273</v>
      </c>
      <c r="J23">
        <v>255.28</v>
      </c>
      <c r="K23">
        <v>159.41999999999999</v>
      </c>
      <c r="L23">
        <v>324971.44</v>
      </c>
      <c r="M23">
        <v>202941.66</v>
      </c>
      <c r="N23">
        <v>122029.78</v>
      </c>
    </row>
    <row r="24" spans="1:14" x14ac:dyDescent="0.25">
      <c r="A24" t="s">
        <v>19</v>
      </c>
      <c r="B24" t="s">
        <v>46</v>
      </c>
      <c r="C24" t="s">
        <v>58</v>
      </c>
      <c r="D24" t="s">
        <v>22</v>
      </c>
      <c r="E24" t="s">
        <v>27</v>
      </c>
      <c r="F24">
        <v>42551</v>
      </c>
      <c r="G24" s="1">
        <v>795490682</v>
      </c>
      <c r="H24">
        <v>42577</v>
      </c>
      <c r="I24">
        <v>2225</v>
      </c>
      <c r="J24">
        <v>152.58000000000001</v>
      </c>
      <c r="K24">
        <v>97.44</v>
      </c>
      <c r="L24">
        <v>339490.5</v>
      </c>
      <c r="M24">
        <v>216804</v>
      </c>
      <c r="N24">
        <v>122686.5</v>
      </c>
    </row>
    <row r="25" spans="1:14" x14ac:dyDescent="0.25">
      <c r="A25" t="s">
        <v>14</v>
      </c>
      <c r="B25" t="s">
        <v>59</v>
      </c>
      <c r="C25" t="s">
        <v>30</v>
      </c>
      <c r="D25" t="s">
        <v>22</v>
      </c>
      <c r="E25" t="s">
        <v>18</v>
      </c>
      <c r="F25">
        <v>41890</v>
      </c>
      <c r="G25" s="1">
        <v>142278373</v>
      </c>
      <c r="H25">
        <v>41916</v>
      </c>
      <c r="I25">
        <v>2187</v>
      </c>
      <c r="J25">
        <v>9.33</v>
      </c>
      <c r="K25">
        <v>6.92</v>
      </c>
      <c r="L25">
        <v>20404.71</v>
      </c>
      <c r="M25">
        <v>15134.04</v>
      </c>
      <c r="N25">
        <v>5270.67</v>
      </c>
    </row>
    <row r="26" spans="1:14" x14ac:dyDescent="0.25">
      <c r="A26" t="s">
        <v>24</v>
      </c>
      <c r="B26" t="s">
        <v>60</v>
      </c>
      <c r="C26" t="s">
        <v>39</v>
      </c>
      <c r="D26" t="s">
        <v>22</v>
      </c>
      <c r="E26" t="s">
        <v>27</v>
      </c>
      <c r="F26">
        <v>42497</v>
      </c>
      <c r="G26" s="1">
        <v>740147912</v>
      </c>
      <c r="H26">
        <v>42500</v>
      </c>
      <c r="I26">
        <v>5070</v>
      </c>
      <c r="J26">
        <v>81.73</v>
      </c>
      <c r="K26">
        <v>56.67</v>
      </c>
      <c r="L26">
        <v>414371.1</v>
      </c>
      <c r="M26">
        <v>287316.90000000002</v>
      </c>
      <c r="N26">
        <v>127054.2</v>
      </c>
    </row>
    <row r="27" spans="1:14" x14ac:dyDescent="0.25">
      <c r="A27" t="s">
        <v>24</v>
      </c>
      <c r="B27" t="s">
        <v>61</v>
      </c>
      <c r="C27" t="s">
        <v>50</v>
      </c>
      <c r="D27" t="s">
        <v>22</v>
      </c>
      <c r="E27" t="s">
        <v>18</v>
      </c>
      <c r="F27">
        <v>42877</v>
      </c>
      <c r="G27" s="1">
        <v>898523128</v>
      </c>
      <c r="H27">
        <v>42891</v>
      </c>
      <c r="I27">
        <v>1815</v>
      </c>
      <c r="J27">
        <v>437.2</v>
      </c>
      <c r="K27">
        <v>263.33</v>
      </c>
      <c r="L27">
        <v>793518</v>
      </c>
      <c r="M27">
        <v>477943.95</v>
      </c>
      <c r="N27">
        <v>315574.05</v>
      </c>
    </row>
    <row r="28" spans="1:14" x14ac:dyDescent="0.25">
      <c r="A28" t="s">
        <v>14</v>
      </c>
      <c r="B28" t="s">
        <v>62</v>
      </c>
      <c r="C28" t="s">
        <v>30</v>
      </c>
      <c r="D28" t="s">
        <v>22</v>
      </c>
      <c r="E28" t="s">
        <v>35</v>
      </c>
      <c r="F28">
        <v>41925</v>
      </c>
      <c r="G28" s="1">
        <v>347140347</v>
      </c>
      <c r="H28">
        <v>41953</v>
      </c>
      <c r="I28">
        <v>5398</v>
      </c>
      <c r="J28">
        <v>9.33</v>
      </c>
      <c r="K28">
        <v>6.92</v>
      </c>
      <c r="L28">
        <v>50363.34</v>
      </c>
      <c r="M28">
        <v>37354.160000000003</v>
      </c>
      <c r="N28">
        <v>13009.18</v>
      </c>
    </row>
    <row r="29" spans="1:14" x14ac:dyDescent="0.25">
      <c r="A29" t="s">
        <v>28</v>
      </c>
      <c r="B29" t="s">
        <v>63</v>
      </c>
      <c r="C29" t="s">
        <v>30</v>
      </c>
      <c r="D29" t="s">
        <v>22</v>
      </c>
      <c r="E29" t="s">
        <v>27</v>
      </c>
      <c r="F29">
        <v>40305</v>
      </c>
      <c r="G29" s="1">
        <v>686048400</v>
      </c>
      <c r="H29">
        <v>40308</v>
      </c>
      <c r="I29">
        <v>5822</v>
      </c>
      <c r="J29">
        <v>9.33</v>
      </c>
      <c r="K29">
        <v>6.92</v>
      </c>
      <c r="L29">
        <v>54319.26</v>
      </c>
      <c r="M29">
        <v>40288.239999999998</v>
      </c>
      <c r="N29">
        <v>14031.02</v>
      </c>
    </row>
    <row r="30" spans="1:14" x14ac:dyDescent="0.25">
      <c r="A30" t="s">
        <v>24</v>
      </c>
      <c r="B30" t="s">
        <v>56</v>
      </c>
      <c r="C30" t="s">
        <v>52</v>
      </c>
      <c r="D30" t="s">
        <v>17</v>
      </c>
      <c r="E30" t="s">
        <v>23</v>
      </c>
      <c r="F30">
        <v>41838</v>
      </c>
      <c r="G30" s="1">
        <v>435608613</v>
      </c>
      <c r="H30">
        <v>41850</v>
      </c>
      <c r="I30">
        <v>5124</v>
      </c>
      <c r="J30">
        <v>47.45</v>
      </c>
      <c r="K30">
        <v>31.79</v>
      </c>
      <c r="L30">
        <v>243133.8</v>
      </c>
      <c r="M30">
        <v>162891.96</v>
      </c>
      <c r="N30">
        <v>80241.84</v>
      </c>
    </row>
    <row r="31" spans="1:14" x14ac:dyDescent="0.25">
      <c r="A31" t="s">
        <v>28</v>
      </c>
      <c r="B31" t="s">
        <v>64</v>
      </c>
      <c r="C31" t="s">
        <v>34</v>
      </c>
      <c r="D31" t="s">
        <v>17</v>
      </c>
      <c r="E31" t="s">
        <v>27</v>
      </c>
      <c r="F31">
        <v>41055</v>
      </c>
      <c r="G31" s="1">
        <v>886494815</v>
      </c>
      <c r="H31">
        <v>41069</v>
      </c>
      <c r="I31">
        <v>2370</v>
      </c>
      <c r="J31">
        <v>668.27</v>
      </c>
      <c r="K31">
        <v>502.54</v>
      </c>
      <c r="L31">
        <v>1583799.9</v>
      </c>
      <c r="M31">
        <v>1191019.8</v>
      </c>
      <c r="N31">
        <v>392780.1</v>
      </c>
    </row>
    <row r="32" spans="1:14" x14ac:dyDescent="0.25">
      <c r="A32" t="s">
        <v>24</v>
      </c>
      <c r="B32" t="s">
        <v>65</v>
      </c>
      <c r="C32" t="s">
        <v>50</v>
      </c>
      <c r="D32" t="s">
        <v>17</v>
      </c>
      <c r="E32" t="s">
        <v>35</v>
      </c>
      <c r="F32">
        <v>41169</v>
      </c>
      <c r="G32" s="1">
        <v>249693334</v>
      </c>
      <c r="H32">
        <v>41202</v>
      </c>
      <c r="I32">
        <v>8661</v>
      </c>
      <c r="J32">
        <v>437.2</v>
      </c>
      <c r="K32">
        <v>263.33</v>
      </c>
      <c r="L32">
        <v>3786589.2</v>
      </c>
      <c r="M32">
        <v>2280701.13</v>
      </c>
      <c r="N32">
        <v>1505888.07</v>
      </c>
    </row>
    <row r="33" spans="1:14" x14ac:dyDescent="0.25">
      <c r="A33" t="s">
        <v>28</v>
      </c>
      <c r="B33" t="s">
        <v>66</v>
      </c>
      <c r="C33" t="s">
        <v>39</v>
      </c>
      <c r="D33" t="s">
        <v>17</v>
      </c>
      <c r="E33" t="s">
        <v>23</v>
      </c>
      <c r="F33">
        <v>41637</v>
      </c>
      <c r="G33" s="1">
        <v>406502997</v>
      </c>
      <c r="H33">
        <v>41667</v>
      </c>
      <c r="I33">
        <v>2125</v>
      </c>
      <c r="J33">
        <v>81.73</v>
      </c>
      <c r="K33">
        <v>56.67</v>
      </c>
      <c r="L33">
        <v>173676.25</v>
      </c>
      <c r="M33">
        <v>120423.75</v>
      </c>
      <c r="N33">
        <v>53252.5</v>
      </c>
    </row>
    <row r="34" spans="1:14" x14ac:dyDescent="0.25">
      <c r="A34" t="s">
        <v>14</v>
      </c>
      <c r="B34" t="s">
        <v>67</v>
      </c>
      <c r="C34" t="s">
        <v>26</v>
      </c>
      <c r="D34" t="s">
        <v>22</v>
      </c>
      <c r="E34" t="s">
        <v>23</v>
      </c>
      <c r="F34">
        <v>42304</v>
      </c>
      <c r="G34" s="1">
        <v>158535134</v>
      </c>
      <c r="H34">
        <v>42333</v>
      </c>
      <c r="I34">
        <v>2924</v>
      </c>
      <c r="J34">
        <v>651.21</v>
      </c>
      <c r="K34">
        <v>524.96</v>
      </c>
      <c r="L34">
        <v>1904138.04</v>
      </c>
      <c r="M34">
        <v>1534983.04</v>
      </c>
      <c r="N34">
        <v>369155</v>
      </c>
    </row>
    <row r="35" spans="1:14" x14ac:dyDescent="0.25">
      <c r="A35" t="s">
        <v>41</v>
      </c>
      <c r="B35" t="s">
        <v>68</v>
      </c>
      <c r="C35" t="s">
        <v>34</v>
      </c>
      <c r="D35" t="s">
        <v>17</v>
      </c>
      <c r="E35" t="s">
        <v>18</v>
      </c>
      <c r="F35">
        <v>42020</v>
      </c>
      <c r="G35" s="1">
        <v>177713572</v>
      </c>
      <c r="H35">
        <v>42064</v>
      </c>
      <c r="I35">
        <v>8250</v>
      </c>
      <c r="J35">
        <v>668.27</v>
      </c>
      <c r="K35">
        <v>502.54</v>
      </c>
      <c r="L35">
        <v>5513227.5</v>
      </c>
      <c r="M35">
        <v>4145955</v>
      </c>
      <c r="N35">
        <v>1367272.5</v>
      </c>
    </row>
    <row r="36" spans="1:14" x14ac:dyDescent="0.25">
      <c r="A36" t="s">
        <v>28</v>
      </c>
      <c r="B36" t="s">
        <v>69</v>
      </c>
      <c r="C36" t="s">
        <v>58</v>
      </c>
      <c r="D36" t="s">
        <v>22</v>
      </c>
      <c r="E36" t="s">
        <v>35</v>
      </c>
      <c r="F36">
        <v>42791</v>
      </c>
      <c r="G36" s="1">
        <v>756274640</v>
      </c>
      <c r="H36">
        <v>42791</v>
      </c>
      <c r="I36">
        <v>7327</v>
      </c>
      <c r="J36">
        <v>152.58000000000001</v>
      </c>
      <c r="K36">
        <v>97.44</v>
      </c>
      <c r="L36">
        <v>1117953.6599999999</v>
      </c>
      <c r="M36">
        <v>713942.88</v>
      </c>
      <c r="N36">
        <v>404010.78</v>
      </c>
    </row>
    <row r="37" spans="1:14" x14ac:dyDescent="0.25">
      <c r="A37" t="s">
        <v>19</v>
      </c>
      <c r="B37" t="s">
        <v>70</v>
      </c>
      <c r="C37" t="s">
        <v>39</v>
      </c>
      <c r="D37" t="s">
        <v>17</v>
      </c>
      <c r="E37" t="s">
        <v>27</v>
      </c>
      <c r="F37">
        <v>42863</v>
      </c>
      <c r="G37" s="1">
        <v>456767165</v>
      </c>
      <c r="H37">
        <v>42876</v>
      </c>
      <c r="I37">
        <v>6409</v>
      </c>
      <c r="J37">
        <v>81.73</v>
      </c>
      <c r="K37">
        <v>56.67</v>
      </c>
      <c r="L37">
        <v>523807.57</v>
      </c>
      <c r="M37">
        <v>363198.03</v>
      </c>
      <c r="N37">
        <v>160609.54</v>
      </c>
    </row>
    <row r="38" spans="1:14" x14ac:dyDescent="0.25">
      <c r="A38" t="s">
        <v>71</v>
      </c>
      <c r="B38" t="s">
        <v>72</v>
      </c>
      <c r="C38" t="s">
        <v>30</v>
      </c>
      <c r="D38" t="s">
        <v>22</v>
      </c>
      <c r="E38" t="s">
        <v>27</v>
      </c>
      <c r="F38">
        <v>40869</v>
      </c>
      <c r="G38" s="1">
        <v>162052476</v>
      </c>
      <c r="H38">
        <v>40880</v>
      </c>
      <c r="I38">
        <v>3784</v>
      </c>
      <c r="J38">
        <v>9.33</v>
      </c>
      <c r="K38">
        <v>6.92</v>
      </c>
      <c r="L38">
        <v>35304.720000000001</v>
      </c>
      <c r="M38">
        <v>26185.279999999999</v>
      </c>
      <c r="N38">
        <v>9119.44</v>
      </c>
    </row>
    <row r="39" spans="1:14" x14ac:dyDescent="0.25">
      <c r="A39" t="s">
        <v>28</v>
      </c>
      <c r="B39" t="s">
        <v>64</v>
      </c>
      <c r="C39" t="s">
        <v>55</v>
      </c>
      <c r="D39" t="s">
        <v>22</v>
      </c>
      <c r="E39" t="s">
        <v>35</v>
      </c>
      <c r="F39">
        <v>42749</v>
      </c>
      <c r="G39" s="1">
        <v>825304400</v>
      </c>
      <c r="H39">
        <v>42758</v>
      </c>
      <c r="I39">
        <v>4767</v>
      </c>
      <c r="J39">
        <v>421.89</v>
      </c>
      <c r="K39">
        <v>364.69</v>
      </c>
      <c r="L39">
        <v>2011149.63</v>
      </c>
      <c r="M39">
        <v>1738477.23</v>
      </c>
      <c r="N39">
        <v>272672.40000000002</v>
      </c>
    </row>
    <row r="40" spans="1:14" x14ac:dyDescent="0.25">
      <c r="A40" t="s">
        <v>41</v>
      </c>
      <c r="B40" t="s">
        <v>73</v>
      </c>
      <c r="C40" t="s">
        <v>26</v>
      </c>
      <c r="D40" t="s">
        <v>22</v>
      </c>
      <c r="E40" t="s">
        <v>27</v>
      </c>
      <c r="F40">
        <v>41000</v>
      </c>
      <c r="G40" s="1">
        <v>320009267</v>
      </c>
      <c r="H40">
        <v>41037</v>
      </c>
      <c r="I40">
        <v>6708</v>
      </c>
      <c r="J40">
        <v>651.21</v>
      </c>
      <c r="K40">
        <v>524.96</v>
      </c>
      <c r="L40">
        <v>4368316.68</v>
      </c>
      <c r="M40">
        <v>3521431.68</v>
      </c>
      <c r="N40">
        <v>846885</v>
      </c>
    </row>
    <row r="41" spans="1:14" x14ac:dyDescent="0.25">
      <c r="A41" t="s">
        <v>24</v>
      </c>
      <c r="B41" t="s">
        <v>48</v>
      </c>
      <c r="C41" t="s">
        <v>26</v>
      </c>
      <c r="D41" t="s">
        <v>22</v>
      </c>
      <c r="E41" t="s">
        <v>35</v>
      </c>
      <c r="F41">
        <v>40955</v>
      </c>
      <c r="G41" s="1">
        <v>189965903</v>
      </c>
      <c r="H41">
        <v>40967</v>
      </c>
      <c r="I41">
        <v>3987</v>
      </c>
      <c r="J41">
        <v>651.21</v>
      </c>
      <c r="K41">
        <v>524.96</v>
      </c>
      <c r="L41">
        <v>2596374.27</v>
      </c>
      <c r="M41">
        <v>2093015.52</v>
      </c>
      <c r="N41">
        <v>503358.75</v>
      </c>
    </row>
    <row r="42" spans="1:14" x14ac:dyDescent="0.25">
      <c r="A42" t="s">
        <v>28</v>
      </c>
      <c r="B42" t="s">
        <v>74</v>
      </c>
      <c r="C42" t="s">
        <v>39</v>
      </c>
      <c r="D42" t="s">
        <v>22</v>
      </c>
      <c r="E42" t="s">
        <v>18</v>
      </c>
      <c r="F42">
        <v>42805</v>
      </c>
      <c r="G42" s="1">
        <v>699285638</v>
      </c>
      <c r="H42">
        <v>42822</v>
      </c>
      <c r="I42">
        <v>3015</v>
      </c>
      <c r="J42">
        <v>81.73</v>
      </c>
      <c r="K42">
        <v>56.67</v>
      </c>
      <c r="L42">
        <v>246415.95</v>
      </c>
      <c r="M42">
        <v>170860.05</v>
      </c>
      <c r="N42">
        <v>75555.899999999994</v>
      </c>
    </row>
    <row r="43" spans="1:14" x14ac:dyDescent="0.25">
      <c r="A43" t="s">
        <v>71</v>
      </c>
      <c r="B43" t="s">
        <v>75</v>
      </c>
      <c r="C43" t="s">
        <v>50</v>
      </c>
      <c r="D43" t="s">
        <v>22</v>
      </c>
      <c r="E43" t="s">
        <v>35</v>
      </c>
      <c r="F43">
        <v>40215</v>
      </c>
      <c r="G43" s="1">
        <v>382392299</v>
      </c>
      <c r="H43">
        <v>40234</v>
      </c>
      <c r="I43">
        <v>7234</v>
      </c>
      <c r="J43">
        <v>437.2</v>
      </c>
      <c r="K43">
        <v>263.33</v>
      </c>
      <c r="L43">
        <v>3162704.8</v>
      </c>
      <c r="M43">
        <v>1904929.22</v>
      </c>
      <c r="N43">
        <v>1257775.58</v>
      </c>
    </row>
    <row r="44" spans="1:14" x14ac:dyDescent="0.25">
      <c r="A44" t="s">
        <v>28</v>
      </c>
      <c r="B44" t="s">
        <v>64</v>
      </c>
      <c r="C44" t="s">
        <v>21</v>
      </c>
      <c r="D44" t="s">
        <v>17</v>
      </c>
      <c r="E44" t="s">
        <v>18</v>
      </c>
      <c r="F44">
        <v>41067</v>
      </c>
      <c r="G44" s="1">
        <v>994022214</v>
      </c>
      <c r="H44">
        <v>41068</v>
      </c>
      <c r="I44">
        <v>2117</v>
      </c>
      <c r="J44">
        <v>205.7</v>
      </c>
      <c r="K44">
        <v>117.11</v>
      </c>
      <c r="L44">
        <v>435466.9</v>
      </c>
      <c r="M44">
        <v>247921.87</v>
      </c>
      <c r="N44">
        <v>187545.03</v>
      </c>
    </row>
    <row r="45" spans="1:14" x14ac:dyDescent="0.25">
      <c r="A45" t="s">
        <v>24</v>
      </c>
      <c r="B45" t="s">
        <v>76</v>
      </c>
      <c r="C45" t="s">
        <v>37</v>
      </c>
      <c r="D45" t="s">
        <v>22</v>
      </c>
      <c r="E45" t="s">
        <v>18</v>
      </c>
      <c r="F45">
        <v>41188</v>
      </c>
      <c r="G45" s="1">
        <v>759224212</v>
      </c>
      <c r="H45">
        <v>41223</v>
      </c>
      <c r="I45">
        <v>171</v>
      </c>
      <c r="J45">
        <v>154.06</v>
      </c>
      <c r="K45">
        <v>90.93</v>
      </c>
      <c r="L45">
        <v>26344.26</v>
      </c>
      <c r="M45">
        <v>15549.03</v>
      </c>
      <c r="N45">
        <v>10795.23</v>
      </c>
    </row>
    <row r="46" spans="1:14" x14ac:dyDescent="0.25">
      <c r="A46" t="s">
        <v>41</v>
      </c>
      <c r="B46" t="s">
        <v>68</v>
      </c>
      <c r="C46" t="s">
        <v>44</v>
      </c>
      <c r="D46" t="s">
        <v>22</v>
      </c>
      <c r="E46" t="s">
        <v>18</v>
      </c>
      <c r="F46">
        <v>42322</v>
      </c>
      <c r="G46" s="1">
        <v>223359620</v>
      </c>
      <c r="H46">
        <v>42326</v>
      </c>
      <c r="I46">
        <v>5930</v>
      </c>
      <c r="J46">
        <v>109.28</v>
      </c>
      <c r="K46">
        <v>35.840000000000003</v>
      </c>
      <c r="L46">
        <v>648030.4</v>
      </c>
      <c r="M46">
        <v>212531.20000000001</v>
      </c>
      <c r="N46">
        <v>435499.2</v>
      </c>
    </row>
    <row r="47" spans="1:14" x14ac:dyDescent="0.25">
      <c r="A47" t="s">
        <v>28</v>
      </c>
      <c r="B47" t="s">
        <v>77</v>
      </c>
      <c r="C47" t="s">
        <v>21</v>
      </c>
      <c r="D47" t="s">
        <v>17</v>
      </c>
      <c r="E47" t="s">
        <v>18</v>
      </c>
      <c r="F47">
        <v>42458</v>
      </c>
      <c r="G47" s="1">
        <v>902102267</v>
      </c>
      <c r="H47">
        <v>42489</v>
      </c>
      <c r="I47">
        <v>962</v>
      </c>
      <c r="J47">
        <v>205.7</v>
      </c>
      <c r="K47">
        <v>117.11</v>
      </c>
      <c r="L47">
        <v>197883.4</v>
      </c>
      <c r="M47">
        <v>112659.82</v>
      </c>
      <c r="N47">
        <v>85223.58</v>
      </c>
    </row>
    <row r="48" spans="1:14" x14ac:dyDescent="0.25">
      <c r="A48" t="s">
        <v>24</v>
      </c>
      <c r="B48" t="s">
        <v>78</v>
      </c>
      <c r="C48" t="s">
        <v>50</v>
      </c>
      <c r="D48" t="s">
        <v>22</v>
      </c>
      <c r="E48" t="s">
        <v>23</v>
      </c>
      <c r="F48">
        <v>42735</v>
      </c>
      <c r="G48" s="1">
        <v>331438481</v>
      </c>
      <c r="H48">
        <v>42735</v>
      </c>
      <c r="I48">
        <v>8867</v>
      </c>
      <c r="J48">
        <v>437.2</v>
      </c>
      <c r="K48">
        <v>263.33</v>
      </c>
      <c r="L48">
        <v>3876652.4</v>
      </c>
      <c r="M48">
        <v>2334947.11</v>
      </c>
      <c r="N48">
        <v>1541705.29</v>
      </c>
    </row>
    <row r="49" spans="1:14" x14ac:dyDescent="0.25">
      <c r="A49" t="s">
        <v>24</v>
      </c>
      <c r="B49" t="s">
        <v>65</v>
      </c>
      <c r="C49" t="s">
        <v>39</v>
      </c>
      <c r="D49" t="s">
        <v>22</v>
      </c>
      <c r="E49" t="s">
        <v>35</v>
      </c>
      <c r="F49">
        <v>40535</v>
      </c>
      <c r="G49" s="1">
        <v>617667090</v>
      </c>
      <c r="H49">
        <v>40574</v>
      </c>
      <c r="I49">
        <v>273</v>
      </c>
      <c r="J49">
        <v>81.73</v>
      </c>
      <c r="K49">
        <v>56.67</v>
      </c>
      <c r="L49">
        <v>22312.29</v>
      </c>
      <c r="M49">
        <v>15470.91</v>
      </c>
      <c r="N49">
        <v>6841.38</v>
      </c>
    </row>
    <row r="50" spans="1:14" x14ac:dyDescent="0.25">
      <c r="A50" t="s">
        <v>24</v>
      </c>
      <c r="B50" t="s">
        <v>79</v>
      </c>
      <c r="C50" t="s">
        <v>44</v>
      </c>
      <c r="D50" t="s">
        <v>17</v>
      </c>
      <c r="E50" t="s">
        <v>23</v>
      </c>
      <c r="F50">
        <v>41926</v>
      </c>
      <c r="G50" s="1">
        <v>787399423</v>
      </c>
      <c r="H50">
        <v>41957</v>
      </c>
      <c r="I50">
        <v>7842</v>
      </c>
      <c r="J50">
        <v>109.28</v>
      </c>
      <c r="K50">
        <v>35.840000000000003</v>
      </c>
      <c r="L50">
        <v>856973.76</v>
      </c>
      <c r="M50">
        <v>281057.28000000003</v>
      </c>
      <c r="N50">
        <v>575916.48</v>
      </c>
    </row>
    <row r="51" spans="1:14" x14ac:dyDescent="0.25">
      <c r="A51" t="s">
        <v>28</v>
      </c>
      <c r="B51" t="s">
        <v>80</v>
      </c>
      <c r="C51" t="s">
        <v>26</v>
      </c>
      <c r="D51" t="s">
        <v>17</v>
      </c>
      <c r="E51" t="s">
        <v>23</v>
      </c>
      <c r="F51">
        <v>40919</v>
      </c>
      <c r="G51" s="1">
        <v>837559306</v>
      </c>
      <c r="H51">
        <v>40921</v>
      </c>
      <c r="I51">
        <v>1266</v>
      </c>
      <c r="J51">
        <v>651.21</v>
      </c>
      <c r="K51">
        <v>524.96</v>
      </c>
      <c r="L51">
        <v>824431.86</v>
      </c>
      <c r="M51">
        <v>664599.36</v>
      </c>
      <c r="N51">
        <v>159832.5</v>
      </c>
    </row>
    <row r="52" spans="1:14" x14ac:dyDescent="0.25">
      <c r="A52" t="s">
        <v>24</v>
      </c>
      <c r="B52" t="s">
        <v>81</v>
      </c>
      <c r="C52" t="s">
        <v>44</v>
      </c>
      <c r="D52" t="s">
        <v>22</v>
      </c>
      <c r="E52" t="s">
        <v>23</v>
      </c>
      <c r="F52">
        <v>40211</v>
      </c>
      <c r="G52" s="1">
        <v>385383069</v>
      </c>
      <c r="H52">
        <v>40255</v>
      </c>
      <c r="I52">
        <v>2269</v>
      </c>
      <c r="J52">
        <v>109.28</v>
      </c>
      <c r="K52">
        <v>35.840000000000003</v>
      </c>
      <c r="L52">
        <v>247956.32</v>
      </c>
      <c r="M52">
        <v>81320.960000000006</v>
      </c>
      <c r="N52">
        <v>166635.35999999999</v>
      </c>
    </row>
    <row r="53" spans="1:14" x14ac:dyDescent="0.25">
      <c r="A53" t="s">
        <v>28</v>
      </c>
      <c r="B53" t="s">
        <v>82</v>
      </c>
      <c r="C53" t="s">
        <v>30</v>
      </c>
      <c r="D53" t="s">
        <v>22</v>
      </c>
      <c r="E53" t="s">
        <v>27</v>
      </c>
      <c r="F53">
        <v>41504</v>
      </c>
      <c r="G53" s="1">
        <v>918419539</v>
      </c>
      <c r="H53">
        <v>41535</v>
      </c>
      <c r="I53">
        <v>9606</v>
      </c>
      <c r="J53">
        <v>9.33</v>
      </c>
      <c r="K53">
        <v>6.92</v>
      </c>
      <c r="L53">
        <v>89623.98</v>
      </c>
      <c r="M53">
        <v>66473.52</v>
      </c>
      <c r="N53">
        <v>23150.46</v>
      </c>
    </row>
    <row r="54" spans="1:14" x14ac:dyDescent="0.25">
      <c r="A54" t="s">
        <v>71</v>
      </c>
      <c r="B54" t="s">
        <v>83</v>
      </c>
      <c r="C54" t="s">
        <v>21</v>
      </c>
      <c r="D54" t="s">
        <v>22</v>
      </c>
      <c r="E54" t="s">
        <v>35</v>
      </c>
      <c r="F54">
        <v>41358</v>
      </c>
      <c r="G54" s="1">
        <v>844530045</v>
      </c>
      <c r="H54">
        <v>41361</v>
      </c>
      <c r="I54">
        <v>4063</v>
      </c>
      <c r="J54">
        <v>205.7</v>
      </c>
      <c r="K54">
        <v>117.11</v>
      </c>
      <c r="L54">
        <v>835759.1</v>
      </c>
      <c r="M54">
        <v>475817.93</v>
      </c>
      <c r="N54">
        <v>359941.17</v>
      </c>
    </row>
    <row r="55" spans="1:14" x14ac:dyDescent="0.25">
      <c r="A55" t="s">
        <v>28</v>
      </c>
      <c r="B55" t="s">
        <v>84</v>
      </c>
      <c r="C55" t="s">
        <v>26</v>
      </c>
      <c r="D55" t="s">
        <v>17</v>
      </c>
      <c r="E55" t="s">
        <v>35</v>
      </c>
      <c r="F55">
        <v>40873</v>
      </c>
      <c r="G55" s="1">
        <v>441888415</v>
      </c>
      <c r="H55">
        <v>40915</v>
      </c>
      <c r="I55">
        <v>3457</v>
      </c>
      <c r="J55">
        <v>651.21</v>
      </c>
      <c r="K55">
        <v>524.96</v>
      </c>
      <c r="L55">
        <v>2251232.9700000002</v>
      </c>
      <c r="M55">
        <v>1814786.72</v>
      </c>
      <c r="N55">
        <v>436446.25</v>
      </c>
    </row>
    <row r="56" spans="1:14" x14ac:dyDescent="0.25">
      <c r="A56" t="s">
        <v>28</v>
      </c>
      <c r="B56" t="s">
        <v>29</v>
      </c>
      <c r="C56" t="s">
        <v>30</v>
      </c>
      <c r="D56" t="s">
        <v>17</v>
      </c>
      <c r="E56" t="s">
        <v>18</v>
      </c>
      <c r="F56">
        <v>41534</v>
      </c>
      <c r="G56" s="1">
        <v>508980977</v>
      </c>
      <c r="H56">
        <v>41571</v>
      </c>
      <c r="I56">
        <v>7637</v>
      </c>
      <c r="J56">
        <v>9.33</v>
      </c>
      <c r="K56">
        <v>6.92</v>
      </c>
      <c r="L56">
        <v>71253.210000000006</v>
      </c>
      <c r="M56">
        <v>52848.04</v>
      </c>
      <c r="N56">
        <v>18405.169999999998</v>
      </c>
    </row>
    <row r="57" spans="1:14" x14ac:dyDescent="0.25">
      <c r="A57" t="s">
        <v>28</v>
      </c>
      <c r="B57" t="s">
        <v>85</v>
      </c>
      <c r="C57" t="s">
        <v>44</v>
      </c>
      <c r="D57" t="s">
        <v>22</v>
      </c>
      <c r="E57" t="s">
        <v>23</v>
      </c>
      <c r="F57">
        <v>41068</v>
      </c>
      <c r="G57" s="1">
        <v>114606559</v>
      </c>
      <c r="H57">
        <v>41087</v>
      </c>
      <c r="I57">
        <v>3482</v>
      </c>
      <c r="J57">
        <v>109.28</v>
      </c>
      <c r="K57">
        <v>35.840000000000003</v>
      </c>
      <c r="L57">
        <v>380512.96</v>
      </c>
      <c r="M57">
        <v>124794.88</v>
      </c>
      <c r="N57">
        <v>255718.08</v>
      </c>
    </row>
    <row r="58" spans="1:14" x14ac:dyDescent="0.25">
      <c r="A58" t="s">
        <v>14</v>
      </c>
      <c r="B58" t="s">
        <v>86</v>
      </c>
      <c r="C58" t="s">
        <v>44</v>
      </c>
      <c r="D58" t="s">
        <v>17</v>
      </c>
      <c r="E58" t="s">
        <v>23</v>
      </c>
      <c r="F58">
        <v>40359</v>
      </c>
      <c r="G58" s="1">
        <v>647876489</v>
      </c>
      <c r="H58">
        <v>40391</v>
      </c>
      <c r="I58">
        <v>9905</v>
      </c>
      <c r="J58">
        <v>109.28</v>
      </c>
      <c r="K58">
        <v>35.840000000000003</v>
      </c>
      <c r="L58">
        <v>1082418.3999999999</v>
      </c>
      <c r="M58">
        <v>354995.20000000001</v>
      </c>
      <c r="N58">
        <v>727423.2</v>
      </c>
    </row>
    <row r="59" spans="1:14" x14ac:dyDescent="0.25">
      <c r="A59" t="s">
        <v>24</v>
      </c>
      <c r="B59" t="s">
        <v>87</v>
      </c>
      <c r="C59" t="s">
        <v>50</v>
      </c>
      <c r="D59" t="s">
        <v>17</v>
      </c>
      <c r="E59" t="s">
        <v>18</v>
      </c>
      <c r="F59">
        <v>42058</v>
      </c>
      <c r="G59" s="1">
        <v>868214595</v>
      </c>
      <c r="H59">
        <v>42065</v>
      </c>
      <c r="I59">
        <v>2847</v>
      </c>
      <c r="J59">
        <v>437.2</v>
      </c>
      <c r="K59">
        <v>263.33</v>
      </c>
      <c r="L59">
        <v>1244708.3999999999</v>
      </c>
      <c r="M59">
        <v>749700.51</v>
      </c>
      <c r="N59">
        <v>495007.89</v>
      </c>
    </row>
    <row r="60" spans="1:14" x14ac:dyDescent="0.25">
      <c r="A60" t="s">
        <v>24</v>
      </c>
      <c r="B60" t="s">
        <v>88</v>
      </c>
      <c r="C60" t="s">
        <v>34</v>
      </c>
      <c r="D60" t="s">
        <v>22</v>
      </c>
      <c r="E60" t="s">
        <v>27</v>
      </c>
      <c r="F60">
        <v>40913</v>
      </c>
      <c r="G60" s="1">
        <v>955357205</v>
      </c>
      <c r="H60">
        <v>40953</v>
      </c>
      <c r="I60">
        <v>282</v>
      </c>
      <c r="J60">
        <v>668.27</v>
      </c>
      <c r="K60">
        <v>502.54</v>
      </c>
      <c r="L60">
        <v>188452.14</v>
      </c>
      <c r="M60">
        <v>141716.28</v>
      </c>
      <c r="N60">
        <v>46735.86</v>
      </c>
    </row>
    <row r="61" spans="1:14" x14ac:dyDescent="0.25">
      <c r="A61" t="s">
        <v>28</v>
      </c>
      <c r="B61" t="s">
        <v>69</v>
      </c>
      <c r="C61" t="s">
        <v>50</v>
      </c>
      <c r="D61" t="s">
        <v>17</v>
      </c>
      <c r="E61" t="s">
        <v>18</v>
      </c>
      <c r="F61">
        <v>41736</v>
      </c>
      <c r="G61" s="1">
        <v>259353148</v>
      </c>
      <c r="H61">
        <v>41748</v>
      </c>
      <c r="I61">
        <v>7215</v>
      </c>
      <c r="J61">
        <v>437.2</v>
      </c>
      <c r="K61">
        <v>263.33</v>
      </c>
      <c r="L61">
        <v>3154398</v>
      </c>
      <c r="M61">
        <v>1899925.95</v>
      </c>
      <c r="N61">
        <v>1254472.05</v>
      </c>
    </row>
    <row r="62" spans="1:14" x14ac:dyDescent="0.25">
      <c r="A62" t="s">
        <v>14</v>
      </c>
      <c r="B62" t="s">
        <v>67</v>
      </c>
      <c r="C62" t="s">
        <v>21</v>
      </c>
      <c r="D62" t="s">
        <v>17</v>
      </c>
      <c r="E62" t="s">
        <v>18</v>
      </c>
      <c r="F62">
        <v>41434</v>
      </c>
      <c r="G62" s="1">
        <v>450563752</v>
      </c>
      <c r="H62">
        <v>41457</v>
      </c>
      <c r="I62">
        <v>682</v>
      </c>
      <c r="J62">
        <v>205.7</v>
      </c>
      <c r="K62">
        <v>117.11</v>
      </c>
      <c r="L62">
        <v>140287.4</v>
      </c>
      <c r="M62">
        <v>79869.02</v>
      </c>
      <c r="N62">
        <v>60418.38</v>
      </c>
    </row>
    <row r="63" spans="1:14" x14ac:dyDescent="0.25">
      <c r="A63" t="s">
        <v>24</v>
      </c>
      <c r="B63" t="s">
        <v>89</v>
      </c>
      <c r="C63" t="s">
        <v>16</v>
      </c>
      <c r="D63" t="s">
        <v>22</v>
      </c>
      <c r="E63" t="s">
        <v>27</v>
      </c>
      <c r="F63">
        <v>41451</v>
      </c>
      <c r="G63" s="1">
        <v>569662845</v>
      </c>
      <c r="H63">
        <v>41456</v>
      </c>
      <c r="I63">
        <v>4750</v>
      </c>
      <c r="J63">
        <v>255.28</v>
      </c>
      <c r="K63">
        <v>159.41999999999999</v>
      </c>
      <c r="L63">
        <v>1212580</v>
      </c>
      <c r="M63">
        <v>757245</v>
      </c>
      <c r="N63">
        <v>455335</v>
      </c>
    </row>
    <row r="64" spans="1:14" x14ac:dyDescent="0.25">
      <c r="A64" t="s">
        <v>28</v>
      </c>
      <c r="B64" t="s">
        <v>51</v>
      </c>
      <c r="C64" t="s">
        <v>26</v>
      </c>
      <c r="D64" t="s">
        <v>22</v>
      </c>
      <c r="E64" t="s">
        <v>35</v>
      </c>
      <c r="F64">
        <v>40854</v>
      </c>
      <c r="G64" s="1">
        <v>177636754</v>
      </c>
      <c r="H64">
        <v>40862</v>
      </c>
      <c r="I64">
        <v>5518</v>
      </c>
      <c r="J64">
        <v>651.21</v>
      </c>
      <c r="K64">
        <v>524.96</v>
      </c>
      <c r="L64">
        <v>3593376.78</v>
      </c>
      <c r="M64">
        <v>2896729.28</v>
      </c>
      <c r="N64">
        <v>696647.5</v>
      </c>
    </row>
    <row r="65" spans="1:14" x14ac:dyDescent="0.25">
      <c r="A65" t="s">
        <v>71</v>
      </c>
      <c r="B65" t="s">
        <v>90</v>
      </c>
      <c r="C65" t="s">
        <v>44</v>
      </c>
      <c r="D65" t="s">
        <v>17</v>
      </c>
      <c r="E65" t="s">
        <v>18</v>
      </c>
      <c r="F65">
        <v>40481</v>
      </c>
      <c r="G65" s="1">
        <v>705784308</v>
      </c>
      <c r="H65">
        <v>40499</v>
      </c>
      <c r="I65">
        <v>6116</v>
      </c>
      <c r="J65">
        <v>109.28</v>
      </c>
      <c r="K65">
        <v>35.840000000000003</v>
      </c>
      <c r="L65">
        <v>668356.48</v>
      </c>
      <c r="M65">
        <v>219197.44</v>
      </c>
      <c r="N65">
        <v>449159.04</v>
      </c>
    </row>
    <row r="66" spans="1:14" x14ac:dyDescent="0.25">
      <c r="A66" t="s">
        <v>19</v>
      </c>
      <c r="B66" t="s">
        <v>91</v>
      </c>
      <c r="C66" t="s">
        <v>50</v>
      </c>
      <c r="D66" t="s">
        <v>17</v>
      </c>
      <c r="E66" t="s">
        <v>18</v>
      </c>
      <c r="F66">
        <v>41560</v>
      </c>
      <c r="G66" s="1">
        <v>505716836</v>
      </c>
      <c r="H66">
        <v>41594</v>
      </c>
      <c r="I66">
        <v>1705</v>
      </c>
      <c r="J66">
        <v>437.2</v>
      </c>
      <c r="K66">
        <v>263.33</v>
      </c>
      <c r="L66">
        <v>745426</v>
      </c>
      <c r="M66">
        <v>448977.65</v>
      </c>
      <c r="N66">
        <v>296448.34999999998</v>
      </c>
    </row>
    <row r="67" spans="1:14" x14ac:dyDescent="0.25">
      <c r="A67" t="s">
        <v>28</v>
      </c>
      <c r="B67" t="s">
        <v>31</v>
      </c>
      <c r="C67" t="s">
        <v>50</v>
      </c>
      <c r="D67" t="s">
        <v>17</v>
      </c>
      <c r="E67" t="s">
        <v>18</v>
      </c>
      <c r="F67">
        <v>41558</v>
      </c>
      <c r="G67" s="1">
        <v>699358165</v>
      </c>
      <c r="H67">
        <v>41603</v>
      </c>
      <c r="I67">
        <v>4477</v>
      </c>
      <c r="J67">
        <v>437.2</v>
      </c>
      <c r="K67">
        <v>263.33</v>
      </c>
      <c r="L67">
        <v>1957344.4</v>
      </c>
      <c r="M67">
        <v>1178928.4099999999</v>
      </c>
      <c r="N67">
        <v>778415.99</v>
      </c>
    </row>
    <row r="68" spans="1:14" x14ac:dyDescent="0.25">
      <c r="A68" t="s">
        <v>28</v>
      </c>
      <c r="B68" t="s">
        <v>92</v>
      </c>
      <c r="C68" t="s">
        <v>39</v>
      </c>
      <c r="D68" t="s">
        <v>17</v>
      </c>
      <c r="E68" t="s">
        <v>27</v>
      </c>
      <c r="F68">
        <v>41098</v>
      </c>
      <c r="G68" s="1">
        <v>228944623</v>
      </c>
      <c r="H68">
        <v>41099</v>
      </c>
      <c r="I68">
        <v>8656</v>
      </c>
      <c r="J68">
        <v>81.73</v>
      </c>
      <c r="K68">
        <v>56.67</v>
      </c>
      <c r="L68">
        <v>707454.88</v>
      </c>
      <c r="M68">
        <v>490535.52</v>
      </c>
      <c r="N68">
        <v>216919.36</v>
      </c>
    </row>
    <row r="69" spans="1:14" x14ac:dyDescent="0.25">
      <c r="A69" t="s">
        <v>19</v>
      </c>
      <c r="B69" t="s">
        <v>93</v>
      </c>
      <c r="C69" t="s">
        <v>44</v>
      </c>
      <c r="D69" t="s">
        <v>17</v>
      </c>
      <c r="E69" t="s">
        <v>35</v>
      </c>
      <c r="F69">
        <v>42576</v>
      </c>
      <c r="G69" s="1">
        <v>807025039</v>
      </c>
      <c r="H69">
        <v>42620</v>
      </c>
      <c r="I69">
        <v>5498</v>
      </c>
      <c r="J69">
        <v>109.28</v>
      </c>
      <c r="K69">
        <v>35.840000000000003</v>
      </c>
      <c r="L69">
        <v>600821.43999999994</v>
      </c>
      <c r="M69">
        <v>197048.32000000001</v>
      </c>
      <c r="N69">
        <v>403773.12</v>
      </c>
    </row>
    <row r="70" spans="1:14" x14ac:dyDescent="0.25">
      <c r="A70" t="s">
        <v>24</v>
      </c>
      <c r="B70" t="s">
        <v>94</v>
      </c>
      <c r="C70" t="s">
        <v>26</v>
      </c>
      <c r="D70" t="s">
        <v>17</v>
      </c>
      <c r="E70" t="s">
        <v>18</v>
      </c>
      <c r="F70">
        <v>40475</v>
      </c>
      <c r="G70" s="1">
        <v>166460740</v>
      </c>
      <c r="H70">
        <v>40499</v>
      </c>
      <c r="I70">
        <v>8287</v>
      </c>
      <c r="J70">
        <v>651.21</v>
      </c>
      <c r="K70">
        <v>524.96</v>
      </c>
      <c r="L70">
        <v>5396577.2699999996</v>
      </c>
      <c r="M70">
        <v>4350343.5199999996</v>
      </c>
      <c r="N70">
        <v>1046233.75</v>
      </c>
    </row>
    <row r="71" spans="1:14" x14ac:dyDescent="0.25">
      <c r="A71" t="s">
        <v>28</v>
      </c>
      <c r="B71" t="s">
        <v>95</v>
      </c>
      <c r="C71" t="s">
        <v>44</v>
      </c>
      <c r="D71" t="s">
        <v>17</v>
      </c>
      <c r="E71" t="s">
        <v>27</v>
      </c>
      <c r="F71">
        <v>42119</v>
      </c>
      <c r="G71" s="1">
        <v>610425555</v>
      </c>
      <c r="H71">
        <v>42152</v>
      </c>
      <c r="I71">
        <v>7342</v>
      </c>
      <c r="J71">
        <v>109.28</v>
      </c>
      <c r="K71">
        <v>35.840000000000003</v>
      </c>
      <c r="L71">
        <v>802333.76</v>
      </c>
      <c r="M71">
        <v>263137.28000000003</v>
      </c>
      <c r="N71">
        <v>539196.48</v>
      </c>
    </row>
    <row r="72" spans="1:14" x14ac:dyDescent="0.25">
      <c r="A72" t="s">
        <v>41</v>
      </c>
      <c r="B72" t="s">
        <v>53</v>
      </c>
      <c r="C72" t="s">
        <v>26</v>
      </c>
      <c r="D72" t="s">
        <v>22</v>
      </c>
      <c r="E72" t="s">
        <v>35</v>
      </c>
      <c r="F72">
        <v>41387</v>
      </c>
      <c r="G72" s="1">
        <v>462405812</v>
      </c>
      <c r="H72">
        <v>41414</v>
      </c>
      <c r="I72">
        <v>5010</v>
      </c>
      <c r="J72">
        <v>651.21</v>
      </c>
      <c r="K72">
        <v>524.96</v>
      </c>
      <c r="L72">
        <v>3262562.1</v>
      </c>
      <c r="M72">
        <v>2630049.6</v>
      </c>
      <c r="N72">
        <v>632512.5</v>
      </c>
    </row>
    <row r="73" spans="1:14" x14ac:dyDescent="0.25">
      <c r="A73" t="s">
        <v>71</v>
      </c>
      <c r="B73" t="s">
        <v>90</v>
      </c>
      <c r="C73" t="s">
        <v>30</v>
      </c>
      <c r="D73" t="s">
        <v>22</v>
      </c>
      <c r="E73" t="s">
        <v>27</v>
      </c>
      <c r="F73">
        <v>42230</v>
      </c>
      <c r="G73" s="1">
        <v>816200339</v>
      </c>
      <c r="H73">
        <v>42277</v>
      </c>
      <c r="I73">
        <v>673</v>
      </c>
      <c r="J73">
        <v>9.33</v>
      </c>
      <c r="K73">
        <v>6.92</v>
      </c>
      <c r="L73">
        <v>6279.09</v>
      </c>
      <c r="M73">
        <v>4657.16</v>
      </c>
      <c r="N73">
        <v>1621.93</v>
      </c>
    </row>
    <row r="74" spans="1:14" x14ac:dyDescent="0.25">
      <c r="A74" t="s">
        <v>28</v>
      </c>
      <c r="B74" t="s">
        <v>96</v>
      </c>
      <c r="C74" t="s">
        <v>52</v>
      </c>
      <c r="D74" t="s">
        <v>22</v>
      </c>
      <c r="E74" t="s">
        <v>23</v>
      </c>
      <c r="F74">
        <v>40689</v>
      </c>
      <c r="G74" s="1">
        <v>585920464</v>
      </c>
      <c r="H74">
        <v>40739</v>
      </c>
      <c r="I74">
        <v>5741</v>
      </c>
      <c r="J74">
        <v>47.45</v>
      </c>
      <c r="K74">
        <v>31.79</v>
      </c>
      <c r="L74">
        <v>272410.45</v>
      </c>
      <c r="M74">
        <v>182506.39</v>
      </c>
      <c r="N74">
        <v>89904.06</v>
      </c>
    </row>
    <row r="75" spans="1:14" x14ac:dyDescent="0.25">
      <c r="A75" t="s">
        <v>28</v>
      </c>
      <c r="B75" t="s">
        <v>69</v>
      </c>
      <c r="C75" t="s">
        <v>21</v>
      </c>
      <c r="D75" t="s">
        <v>22</v>
      </c>
      <c r="E75" t="s">
        <v>18</v>
      </c>
      <c r="F75">
        <v>42875</v>
      </c>
      <c r="G75" s="1">
        <v>555990016</v>
      </c>
      <c r="H75">
        <v>42903</v>
      </c>
      <c r="I75">
        <v>8656</v>
      </c>
      <c r="J75">
        <v>205.7</v>
      </c>
      <c r="K75">
        <v>117.11</v>
      </c>
      <c r="L75">
        <v>1780539.2</v>
      </c>
      <c r="M75">
        <v>1013704.16</v>
      </c>
      <c r="N75">
        <v>766835.04</v>
      </c>
    </row>
    <row r="76" spans="1:14" x14ac:dyDescent="0.25">
      <c r="A76" t="s">
        <v>71</v>
      </c>
      <c r="B76" t="s">
        <v>97</v>
      </c>
      <c r="C76" t="s">
        <v>50</v>
      </c>
      <c r="D76" t="s">
        <v>17</v>
      </c>
      <c r="E76" t="s">
        <v>27</v>
      </c>
      <c r="F76">
        <v>41460</v>
      </c>
      <c r="G76" s="1">
        <v>231145322</v>
      </c>
      <c r="H76">
        <v>41502</v>
      </c>
      <c r="I76">
        <v>9892</v>
      </c>
      <c r="J76">
        <v>437.2</v>
      </c>
      <c r="K76">
        <v>263.33</v>
      </c>
      <c r="L76">
        <v>4324782.4000000004</v>
      </c>
      <c r="M76">
        <v>2604860.36</v>
      </c>
      <c r="N76">
        <v>1719922.04</v>
      </c>
    </row>
    <row r="77" spans="1:14" x14ac:dyDescent="0.25">
      <c r="A77" t="s">
        <v>98</v>
      </c>
      <c r="B77" t="s">
        <v>99</v>
      </c>
      <c r="C77" t="s">
        <v>34</v>
      </c>
      <c r="D77" t="s">
        <v>17</v>
      </c>
      <c r="E77" t="s">
        <v>23</v>
      </c>
      <c r="F77">
        <v>41949</v>
      </c>
      <c r="G77" s="1">
        <v>986435210</v>
      </c>
      <c r="H77">
        <v>41985</v>
      </c>
      <c r="I77">
        <v>6954</v>
      </c>
      <c r="J77">
        <v>668.27</v>
      </c>
      <c r="K77">
        <v>502.54</v>
      </c>
      <c r="L77">
        <v>4647149.58</v>
      </c>
      <c r="M77">
        <v>3494663.16</v>
      </c>
      <c r="N77">
        <v>1152486.42</v>
      </c>
    </row>
    <row r="78" spans="1:14" x14ac:dyDescent="0.25">
      <c r="A78" t="s">
        <v>14</v>
      </c>
      <c r="B78" t="s">
        <v>100</v>
      </c>
      <c r="C78" t="s">
        <v>52</v>
      </c>
      <c r="D78" t="s">
        <v>22</v>
      </c>
      <c r="E78" t="s">
        <v>23</v>
      </c>
      <c r="F78">
        <v>41940</v>
      </c>
      <c r="G78" s="1">
        <v>217221009</v>
      </c>
      <c r="H78">
        <v>41958</v>
      </c>
      <c r="I78">
        <v>9379</v>
      </c>
      <c r="J78">
        <v>47.45</v>
      </c>
      <c r="K78">
        <v>31.79</v>
      </c>
      <c r="L78">
        <v>445033.55</v>
      </c>
      <c r="M78">
        <v>298158.40999999997</v>
      </c>
      <c r="N78">
        <v>146875.14000000001</v>
      </c>
    </row>
    <row r="79" spans="1:14" x14ac:dyDescent="0.25">
      <c r="A79" t="s">
        <v>41</v>
      </c>
      <c r="B79" t="s">
        <v>101</v>
      </c>
      <c r="C79" t="s">
        <v>37</v>
      </c>
      <c r="D79" t="s">
        <v>17</v>
      </c>
      <c r="E79" t="s">
        <v>23</v>
      </c>
      <c r="F79">
        <v>40801</v>
      </c>
      <c r="G79" s="1">
        <v>789176547</v>
      </c>
      <c r="H79">
        <v>40839</v>
      </c>
      <c r="I79">
        <v>3732</v>
      </c>
      <c r="J79">
        <v>154.06</v>
      </c>
      <c r="K79">
        <v>90.93</v>
      </c>
      <c r="L79">
        <v>574951.92000000004</v>
      </c>
      <c r="M79">
        <v>339350.76</v>
      </c>
      <c r="N79">
        <v>235601.16</v>
      </c>
    </row>
    <row r="80" spans="1:14" x14ac:dyDescent="0.25">
      <c r="A80" t="s">
        <v>24</v>
      </c>
      <c r="B80" t="s">
        <v>102</v>
      </c>
      <c r="C80" t="s">
        <v>16</v>
      </c>
      <c r="D80" t="s">
        <v>17</v>
      </c>
      <c r="E80" t="s">
        <v>18</v>
      </c>
      <c r="F80">
        <v>41058</v>
      </c>
      <c r="G80" s="1">
        <v>688288152</v>
      </c>
      <c r="H80">
        <v>41062</v>
      </c>
      <c r="I80">
        <v>8614</v>
      </c>
      <c r="J80">
        <v>255.28</v>
      </c>
      <c r="K80">
        <v>159.41999999999999</v>
      </c>
      <c r="L80">
        <v>2198981.92</v>
      </c>
      <c r="M80">
        <v>1373243.88</v>
      </c>
      <c r="N80">
        <v>825738.04</v>
      </c>
    </row>
    <row r="81" spans="1:14" x14ac:dyDescent="0.25">
      <c r="A81" t="s">
        <v>14</v>
      </c>
      <c r="B81" t="s">
        <v>103</v>
      </c>
      <c r="C81" t="s">
        <v>50</v>
      </c>
      <c r="D81" t="s">
        <v>22</v>
      </c>
      <c r="E81" t="s">
        <v>18</v>
      </c>
      <c r="F81">
        <v>41475</v>
      </c>
      <c r="G81" s="1">
        <v>670854651</v>
      </c>
      <c r="H81">
        <v>41493</v>
      </c>
      <c r="I81">
        <v>9654</v>
      </c>
      <c r="J81">
        <v>437.2</v>
      </c>
      <c r="K81">
        <v>263.33</v>
      </c>
      <c r="L81">
        <v>4220728.8</v>
      </c>
      <c r="M81">
        <v>2542187.8199999998</v>
      </c>
      <c r="N81">
        <v>1678540.98</v>
      </c>
    </row>
    <row r="82" spans="1:14" x14ac:dyDescent="0.25">
      <c r="A82" t="s">
        <v>24</v>
      </c>
      <c r="B82" t="s">
        <v>104</v>
      </c>
      <c r="C82" t="s">
        <v>34</v>
      </c>
      <c r="D82" t="s">
        <v>17</v>
      </c>
      <c r="E82" t="s">
        <v>27</v>
      </c>
      <c r="F82">
        <v>41203</v>
      </c>
      <c r="G82" s="1">
        <v>213487374</v>
      </c>
      <c r="H82">
        <v>41243</v>
      </c>
      <c r="I82">
        <v>4513</v>
      </c>
      <c r="J82">
        <v>668.27</v>
      </c>
      <c r="K82">
        <v>502.54</v>
      </c>
      <c r="L82">
        <v>3015902.51</v>
      </c>
      <c r="M82">
        <v>2267963.02</v>
      </c>
      <c r="N82">
        <v>747939.49</v>
      </c>
    </row>
    <row r="83" spans="1:14" x14ac:dyDescent="0.25">
      <c r="A83" t="s">
        <v>71</v>
      </c>
      <c r="B83" t="s">
        <v>105</v>
      </c>
      <c r="C83" t="s">
        <v>44</v>
      </c>
      <c r="D83" t="s">
        <v>22</v>
      </c>
      <c r="E83" t="s">
        <v>27</v>
      </c>
      <c r="F83">
        <v>41170</v>
      </c>
      <c r="G83" s="1">
        <v>663110148</v>
      </c>
      <c r="H83">
        <v>41190</v>
      </c>
      <c r="I83">
        <v>7884</v>
      </c>
      <c r="J83">
        <v>109.28</v>
      </c>
      <c r="K83">
        <v>35.840000000000003</v>
      </c>
      <c r="L83">
        <v>861563.52</v>
      </c>
      <c r="M83">
        <v>282562.56</v>
      </c>
      <c r="N83">
        <v>579000.96</v>
      </c>
    </row>
    <row r="84" spans="1:14" x14ac:dyDescent="0.25">
      <c r="A84" t="s">
        <v>71</v>
      </c>
      <c r="B84" t="s">
        <v>106</v>
      </c>
      <c r="C84" t="s">
        <v>50</v>
      </c>
      <c r="D84" t="s">
        <v>22</v>
      </c>
      <c r="E84" t="s">
        <v>18</v>
      </c>
      <c r="F84">
        <v>42689</v>
      </c>
      <c r="G84" s="1">
        <v>286959302</v>
      </c>
      <c r="H84">
        <v>42712</v>
      </c>
      <c r="I84">
        <v>6489</v>
      </c>
      <c r="J84">
        <v>437.2</v>
      </c>
      <c r="K84">
        <v>263.33</v>
      </c>
      <c r="L84">
        <v>2836990.8</v>
      </c>
      <c r="M84">
        <v>1708748.37</v>
      </c>
      <c r="N84">
        <v>1128242.43</v>
      </c>
    </row>
    <row r="85" spans="1:14" x14ac:dyDescent="0.25">
      <c r="A85" t="s">
        <v>28</v>
      </c>
      <c r="B85" t="s">
        <v>107</v>
      </c>
      <c r="C85" t="s">
        <v>58</v>
      </c>
      <c r="D85" t="s">
        <v>22</v>
      </c>
      <c r="E85" t="s">
        <v>27</v>
      </c>
      <c r="F85">
        <v>40547</v>
      </c>
      <c r="G85" s="1">
        <v>122583663</v>
      </c>
      <c r="H85">
        <v>40548</v>
      </c>
      <c r="I85">
        <v>4085</v>
      </c>
      <c r="J85">
        <v>152.58000000000001</v>
      </c>
      <c r="K85">
        <v>97.44</v>
      </c>
      <c r="L85">
        <v>623289.30000000005</v>
      </c>
      <c r="M85">
        <v>398042.4</v>
      </c>
      <c r="N85">
        <v>225246.9</v>
      </c>
    </row>
    <row r="86" spans="1:14" x14ac:dyDescent="0.25">
      <c r="A86" t="s">
        <v>28</v>
      </c>
      <c r="B86" t="s">
        <v>108</v>
      </c>
      <c r="C86" t="s">
        <v>37</v>
      </c>
      <c r="D86" t="s">
        <v>22</v>
      </c>
      <c r="E86" t="s">
        <v>27</v>
      </c>
      <c r="F86">
        <v>40986</v>
      </c>
      <c r="G86" s="1">
        <v>827844560</v>
      </c>
      <c r="H86">
        <v>41006</v>
      </c>
      <c r="I86">
        <v>6457</v>
      </c>
      <c r="J86">
        <v>154.06</v>
      </c>
      <c r="K86">
        <v>90.93</v>
      </c>
      <c r="L86">
        <v>994765.42</v>
      </c>
      <c r="M86">
        <v>587135.01</v>
      </c>
      <c r="N86">
        <v>407630.41</v>
      </c>
    </row>
    <row r="87" spans="1:14" x14ac:dyDescent="0.25">
      <c r="A87" t="s">
        <v>98</v>
      </c>
      <c r="B87" t="s">
        <v>99</v>
      </c>
      <c r="C87" t="s">
        <v>39</v>
      </c>
      <c r="D87" t="s">
        <v>17</v>
      </c>
      <c r="E87" t="s">
        <v>27</v>
      </c>
      <c r="F87">
        <v>40956</v>
      </c>
      <c r="G87" s="1">
        <v>430915820</v>
      </c>
      <c r="H87">
        <v>40988</v>
      </c>
      <c r="I87">
        <v>6422</v>
      </c>
      <c r="J87">
        <v>81.73</v>
      </c>
      <c r="K87">
        <v>56.67</v>
      </c>
      <c r="L87">
        <v>524870.06000000006</v>
      </c>
      <c r="M87">
        <v>363934.74</v>
      </c>
      <c r="N87">
        <v>160935.32</v>
      </c>
    </row>
    <row r="88" spans="1:14" x14ac:dyDescent="0.25">
      <c r="A88" t="s">
        <v>28</v>
      </c>
      <c r="B88" t="s">
        <v>29</v>
      </c>
      <c r="C88" t="s">
        <v>52</v>
      </c>
      <c r="D88" t="s">
        <v>17</v>
      </c>
      <c r="E88" t="s">
        <v>23</v>
      </c>
      <c r="F88">
        <v>40559</v>
      </c>
      <c r="G88" s="1">
        <v>180283772</v>
      </c>
      <c r="H88">
        <v>40564</v>
      </c>
      <c r="I88">
        <v>8829</v>
      </c>
      <c r="J88">
        <v>47.45</v>
      </c>
      <c r="K88">
        <v>31.79</v>
      </c>
      <c r="L88">
        <v>418936.05</v>
      </c>
      <c r="M88">
        <v>280673.90999999997</v>
      </c>
      <c r="N88">
        <v>138262.14000000001</v>
      </c>
    </row>
    <row r="89" spans="1:14" x14ac:dyDescent="0.25">
      <c r="A89" t="s">
        <v>28</v>
      </c>
      <c r="B89" t="s">
        <v>64</v>
      </c>
      <c r="C89" t="s">
        <v>16</v>
      </c>
      <c r="D89" t="s">
        <v>17</v>
      </c>
      <c r="E89" t="s">
        <v>35</v>
      </c>
      <c r="F89">
        <v>41673</v>
      </c>
      <c r="G89" s="1">
        <v>494747245</v>
      </c>
      <c r="H89">
        <v>41718</v>
      </c>
      <c r="I89">
        <v>5559</v>
      </c>
      <c r="J89">
        <v>255.28</v>
      </c>
      <c r="K89">
        <v>159.41999999999999</v>
      </c>
      <c r="L89">
        <v>1419101.52</v>
      </c>
      <c r="M89">
        <v>886215.78</v>
      </c>
      <c r="N89">
        <v>532885.74</v>
      </c>
    </row>
    <row r="90" spans="1:14" x14ac:dyDescent="0.25">
      <c r="A90" t="s">
        <v>71</v>
      </c>
      <c r="B90" t="s">
        <v>109</v>
      </c>
      <c r="C90" t="s">
        <v>30</v>
      </c>
      <c r="D90" t="s">
        <v>22</v>
      </c>
      <c r="E90" t="s">
        <v>35</v>
      </c>
      <c r="F90">
        <v>41029</v>
      </c>
      <c r="G90" s="1">
        <v>513417565</v>
      </c>
      <c r="H90">
        <v>41047</v>
      </c>
      <c r="I90">
        <v>522</v>
      </c>
      <c r="J90">
        <v>9.33</v>
      </c>
      <c r="K90">
        <v>6.92</v>
      </c>
      <c r="L90">
        <v>4870.26</v>
      </c>
      <c r="M90">
        <v>3612.24</v>
      </c>
      <c r="N90">
        <v>1258.02</v>
      </c>
    </row>
    <row r="91" spans="1:14" x14ac:dyDescent="0.25">
      <c r="A91" t="s">
        <v>24</v>
      </c>
      <c r="B91" t="s">
        <v>110</v>
      </c>
      <c r="C91" t="s">
        <v>52</v>
      </c>
      <c r="D91" t="s">
        <v>17</v>
      </c>
      <c r="E91" t="s">
        <v>23</v>
      </c>
      <c r="F91">
        <v>42666</v>
      </c>
      <c r="G91" s="1">
        <v>345718562</v>
      </c>
      <c r="H91">
        <v>42699</v>
      </c>
      <c r="I91">
        <v>4660</v>
      </c>
      <c r="J91">
        <v>47.45</v>
      </c>
      <c r="K91">
        <v>31.79</v>
      </c>
      <c r="L91">
        <v>221117</v>
      </c>
      <c r="M91">
        <v>148141.4</v>
      </c>
      <c r="N91">
        <v>72975.600000000006</v>
      </c>
    </row>
    <row r="92" spans="1:14" x14ac:dyDescent="0.25">
      <c r="A92" t="s">
        <v>28</v>
      </c>
      <c r="B92" t="s">
        <v>84</v>
      </c>
      <c r="C92" t="s">
        <v>26</v>
      </c>
      <c r="D92" t="s">
        <v>17</v>
      </c>
      <c r="E92" t="s">
        <v>18</v>
      </c>
      <c r="F92">
        <v>42710</v>
      </c>
      <c r="G92" s="1">
        <v>621386563</v>
      </c>
      <c r="H92">
        <v>42718</v>
      </c>
      <c r="I92">
        <v>948</v>
      </c>
      <c r="J92">
        <v>651.21</v>
      </c>
      <c r="K92">
        <v>524.96</v>
      </c>
      <c r="L92">
        <v>617347.07999999996</v>
      </c>
      <c r="M92">
        <v>497662.08</v>
      </c>
      <c r="N92">
        <v>119685</v>
      </c>
    </row>
    <row r="93" spans="1:14" x14ac:dyDescent="0.25">
      <c r="A93" t="s">
        <v>14</v>
      </c>
      <c r="B93" t="s">
        <v>67</v>
      </c>
      <c r="C93" t="s">
        <v>52</v>
      </c>
      <c r="D93" t="s">
        <v>17</v>
      </c>
      <c r="E93" t="s">
        <v>18</v>
      </c>
      <c r="F93">
        <v>41827</v>
      </c>
      <c r="G93" s="1">
        <v>240470397</v>
      </c>
      <c r="H93">
        <v>41831</v>
      </c>
      <c r="I93">
        <v>9389</v>
      </c>
      <c r="J93">
        <v>47.45</v>
      </c>
      <c r="K93">
        <v>31.79</v>
      </c>
      <c r="L93">
        <v>445508.05</v>
      </c>
      <c r="M93">
        <v>298476.31</v>
      </c>
      <c r="N93">
        <v>147031.74</v>
      </c>
    </row>
    <row r="94" spans="1:14" x14ac:dyDescent="0.25">
      <c r="A94" t="s">
        <v>71</v>
      </c>
      <c r="B94" t="s">
        <v>75</v>
      </c>
      <c r="C94" t="s">
        <v>26</v>
      </c>
      <c r="D94" t="s">
        <v>22</v>
      </c>
      <c r="E94" t="s">
        <v>35</v>
      </c>
      <c r="F94">
        <v>41073</v>
      </c>
      <c r="G94" s="1">
        <v>423331391</v>
      </c>
      <c r="H94">
        <v>41114</v>
      </c>
      <c r="I94">
        <v>2021</v>
      </c>
      <c r="J94">
        <v>651.21</v>
      </c>
      <c r="K94">
        <v>524.96</v>
      </c>
      <c r="L94">
        <v>1316095.4099999999</v>
      </c>
      <c r="M94">
        <v>1060944.1599999999</v>
      </c>
      <c r="N94">
        <v>255151.25</v>
      </c>
    </row>
    <row r="95" spans="1:14" x14ac:dyDescent="0.25">
      <c r="A95" t="s">
        <v>24</v>
      </c>
      <c r="B95" t="s">
        <v>111</v>
      </c>
      <c r="C95" t="s">
        <v>50</v>
      </c>
      <c r="D95" t="s">
        <v>22</v>
      </c>
      <c r="E95" t="s">
        <v>18</v>
      </c>
      <c r="F95">
        <v>40508</v>
      </c>
      <c r="G95" s="1">
        <v>660643374</v>
      </c>
      <c r="H95">
        <v>40537</v>
      </c>
      <c r="I95">
        <v>7910</v>
      </c>
      <c r="J95">
        <v>437.2</v>
      </c>
      <c r="K95">
        <v>263.33</v>
      </c>
      <c r="L95">
        <v>3458252</v>
      </c>
      <c r="M95">
        <v>2082940.3</v>
      </c>
      <c r="N95">
        <v>1375311.7</v>
      </c>
    </row>
    <row r="96" spans="1:14" x14ac:dyDescent="0.25">
      <c r="A96" t="s">
        <v>19</v>
      </c>
      <c r="B96" t="s">
        <v>112</v>
      </c>
      <c r="C96" t="s">
        <v>52</v>
      </c>
      <c r="D96" t="s">
        <v>17</v>
      </c>
      <c r="E96" t="s">
        <v>23</v>
      </c>
      <c r="F96">
        <v>40582</v>
      </c>
      <c r="G96" s="1">
        <v>963392674</v>
      </c>
      <c r="H96">
        <v>40623</v>
      </c>
      <c r="I96">
        <v>8156</v>
      </c>
      <c r="J96">
        <v>47.45</v>
      </c>
      <c r="K96">
        <v>31.79</v>
      </c>
      <c r="L96">
        <v>387002.2</v>
      </c>
      <c r="M96">
        <v>259279.24</v>
      </c>
      <c r="N96">
        <v>127722.96</v>
      </c>
    </row>
    <row r="97" spans="1:14" x14ac:dyDescent="0.25">
      <c r="A97" t="s">
        <v>28</v>
      </c>
      <c r="B97" t="s">
        <v>63</v>
      </c>
      <c r="C97" t="s">
        <v>44</v>
      </c>
      <c r="D97" t="s">
        <v>22</v>
      </c>
      <c r="E97" t="s">
        <v>35</v>
      </c>
      <c r="F97">
        <v>40750</v>
      </c>
      <c r="G97" s="1">
        <v>512878119</v>
      </c>
      <c r="H97">
        <v>40789</v>
      </c>
      <c r="I97">
        <v>888</v>
      </c>
      <c r="J97">
        <v>109.28</v>
      </c>
      <c r="K97">
        <v>35.840000000000003</v>
      </c>
      <c r="L97">
        <v>97040.639999999999</v>
      </c>
      <c r="M97">
        <v>31825.919999999998</v>
      </c>
      <c r="N97">
        <v>65214.720000000001</v>
      </c>
    </row>
    <row r="98" spans="1:14" x14ac:dyDescent="0.25">
      <c r="A98" t="s">
        <v>41</v>
      </c>
      <c r="B98" t="s">
        <v>113</v>
      </c>
      <c r="C98" t="s">
        <v>30</v>
      </c>
      <c r="D98" t="s">
        <v>17</v>
      </c>
      <c r="E98" t="s">
        <v>27</v>
      </c>
      <c r="F98">
        <v>40858</v>
      </c>
      <c r="G98" s="1">
        <v>810711038</v>
      </c>
      <c r="H98">
        <v>40905</v>
      </c>
      <c r="I98">
        <v>6267</v>
      </c>
      <c r="J98">
        <v>9.33</v>
      </c>
      <c r="K98">
        <v>6.92</v>
      </c>
      <c r="L98">
        <v>58471.11</v>
      </c>
      <c r="M98">
        <v>43367.64</v>
      </c>
      <c r="N98">
        <v>15103.47</v>
      </c>
    </row>
    <row r="99" spans="1:14" x14ac:dyDescent="0.25">
      <c r="A99" t="s">
        <v>28</v>
      </c>
      <c r="B99" t="s">
        <v>84</v>
      </c>
      <c r="C99" t="s">
        <v>37</v>
      </c>
      <c r="D99" t="s">
        <v>17</v>
      </c>
      <c r="E99" t="s">
        <v>23</v>
      </c>
      <c r="F99">
        <v>42522</v>
      </c>
      <c r="G99" s="1">
        <v>728815257</v>
      </c>
      <c r="H99">
        <v>42550</v>
      </c>
      <c r="I99">
        <v>1485</v>
      </c>
      <c r="J99">
        <v>154.06</v>
      </c>
      <c r="K99">
        <v>90.93</v>
      </c>
      <c r="L99">
        <v>228779.1</v>
      </c>
      <c r="M99">
        <v>135031.04999999999</v>
      </c>
      <c r="N99">
        <v>93748.05</v>
      </c>
    </row>
    <row r="100" spans="1:14" x14ac:dyDescent="0.25">
      <c r="A100" t="s">
        <v>98</v>
      </c>
      <c r="B100" t="s">
        <v>99</v>
      </c>
      <c r="C100" t="s">
        <v>39</v>
      </c>
      <c r="D100" t="s">
        <v>17</v>
      </c>
      <c r="E100" t="s">
        <v>35</v>
      </c>
      <c r="F100">
        <v>42215</v>
      </c>
      <c r="G100" s="1">
        <v>559427106</v>
      </c>
      <c r="H100">
        <v>42224</v>
      </c>
      <c r="I100">
        <v>5767</v>
      </c>
      <c r="J100">
        <v>81.73</v>
      </c>
      <c r="K100">
        <v>56.67</v>
      </c>
      <c r="L100">
        <v>471336.91</v>
      </c>
      <c r="M100">
        <v>326815.89</v>
      </c>
      <c r="N100">
        <v>144521.01999999999</v>
      </c>
    </row>
    <row r="101" spans="1:14" x14ac:dyDescent="0.25">
      <c r="A101" t="s">
        <v>28</v>
      </c>
      <c r="B101" t="s">
        <v>114</v>
      </c>
      <c r="C101" t="s">
        <v>34</v>
      </c>
      <c r="D101" t="s">
        <v>17</v>
      </c>
      <c r="E101" t="s">
        <v>27</v>
      </c>
      <c r="F101">
        <v>40949</v>
      </c>
      <c r="G101" s="1">
        <v>665095412</v>
      </c>
      <c r="H101">
        <v>40954</v>
      </c>
      <c r="I101">
        <v>5367</v>
      </c>
      <c r="J101">
        <v>668.27</v>
      </c>
      <c r="K101">
        <v>502.54</v>
      </c>
      <c r="L101">
        <v>3586605.09</v>
      </c>
      <c r="M101">
        <v>2697132.18</v>
      </c>
      <c r="N101">
        <v>889472.91</v>
      </c>
    </row>
  </sheetData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Dashboard</vt:lpstr>
      <vt:lpstr>Tables_Charts</vt:lpstr>
      <vt:lpstr>Refined_Data</vt:lpstr>
      <vt:lpstr>Raw_Data</vt:lpstr>
      <vt:lpstr>Tables_Charts!Extract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patel</dc:creator>
  <cp:lastModifiedBy>LightHouse 24</cp:lastModifiedBy>
  <dcterms:created xsi:type="dcterms:W3CDTF">2020-01-07T09:43:14Z</dcterms:created>
  <dcterms:modified xsi:type="dcterms:W3CDTF">2025-12-26T16:25:20Z</dcterms:modified>
</cp:coreProperties>
</file>