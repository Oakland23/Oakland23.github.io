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8923118be15b654/Documents/"/>
    </mc:Choice>
  </mc:AlternateContent>
  <xr:revisionPtr revIDLastSave="7" documentId="8_{20EEAC0A-0616-46F6-9FB3-6BA53970F11E}" xr6:coauthVersionLast="47" xr6:coauthVersionMax="47" xr10:uidLastSave="{877C59BD-AD82-4BF5-B5FF-9E44295D6B2D}"/>
  <bookViews>
    <workbookView xWindow="-120" yWindow="-120" windowWidth="19440" windowHeight="11640" xr2:uid="{00000000-000D-0000-FFFF-FFFF00000000}"/>
  </bookViews>
  <sheets>
    <sheet name="Tables_Charts" sheetId="2" r:id="rId1"/>
    <sheet name="Summary_Tables" sheetId="6" r:id="rId2"/>
    <sheet name="Refined_Data" sheetId="5" r:id="rId3"/>
    <sheet name="Raw_Data" sheetId="1" r:id="rId4"/>
  </sheets>
  <definedNames>
    <definedName name="_xlnm._FilterDatabase" localSheetId="2" hidden="1">Refined_Data!$A$1:$O$102</definedName>
    <definedName name="_xlnm._FilterDatabase" localSheetId="0" hidden="1">Tables_Charts!$A$1:$O$102</definedName>
    <definedName name="_xlnm.Extract" localSheetId="2">Refined_Data!#REF!</definedName>
    <definedName name="_xlnm.Extract" localSheetId="0">Tables_Charts!$S$83:$S$172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7" i="2" l="1"/>
  <c r="V83" i="2" s="1"/>
  <c r="W89" i="2"/>
  <c r="T30" i="2"/>
  <c r="AB30" i="2" s="1"/>
  <c r="T29" i="2"/>
  <c r="AB29" i="2"/>
  <c r="V31" i="2"/>
  <c r="T18" i="2"/>
  <c r="AB31" i="2"/>
  <c r="AB32" i="2"/>
  <c r="AB33" i="2"/>
  <c r="AB34" i="2"/>
  <c r="AB35" i="2"/>
  <c r="AB36" i="2"/>
  <c r="AB37" i="2"/>
  <c r="AB38" i="2"/>
  <c r="AB39" i="2"/>
  <c r="AB40" i="2"/>
  <c r="O102" i="5"/>
  <c r="N102" i="5"/>
  <c r="M102" i="5"/>
  <c r="L102" i="5"/>
  <c r="J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U163" i="2"/>
  <c r="U164" i="2"/>
  <c r="U165" i="2"/>
  <c r="U166" i="2"/>
  <c r="U167" i="2"/>
  <c r="U168" i="2"/>
  <c r="U169" i="2"/>
  <c r="U170" i="2"/>
  <c r="V56" i="2"/>
  <c r="T171" i="2"/>
  <c r="T170" i="2"/>
  <c r="T169" i="2"/>
  <c r="T168" i="2"/>
  <c r="T167" i="2"/>
  <c r="T166" i="2"/>
  <c r="T165" i="2"/>
  <c r="T164" i="2"/>
  <c r="T16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8" i="2"/>
  <c r="T149" i="2"/>
  <c r="T150" i="2"/>
  <c r="T151" i="2"/>
  <c r="T152" i="2"/>
  <c r="T153" i="2"/>
  <c r="T154" i="2"/>
  <c r="T155" i="2"/>
  <c r="T156" i="2"/>
  <c r="T157" i="2"/>
  <c r="T158" i="2"/>
  <c r="T83" i="2"/>
  <c r="V57" i="2"/>
  <c r="V65" i="2"/>
  <c r="T57" i="2"/>
  <c r="T58" i="2"/>
  <c r="T59" i="2"/>
  <c r="T60" i="2"/>
  <c r="T61" i="2"/>
  <c r="T62" i="2"/>
  <c r="T63" i="2"/>
  <c r="T64" i="2"/>
  <c r="T65" i="2"/>
  <c r="T66" i="2"/>
  <c r="T67" i="2"/>
  <c r="T56" i="2"/>
  <c r="U57" i="2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U66" i="2"/>
  <c r="V66" i="2" s="1"/>
  <c r="U67" i="2"/>
  <c r="V67" i="2" s="1"/>
  <c r="U56" i="2"/>
  <c r="T46" i="2"/>
  <c r="T47" i="2"/>
  <c r="T48" i="2"/>
  <c r="T49" i="2"/>
  <c r="T50" i="2"/>
  <c r="T51" i="2"/>
  <c r="T45" i="2"/>
  <c r="T7" i="2"/>
  <c r="T8" i="2"/>
  <c r="T9" i="2"/>
  <c r="T10" i="2"/>
  <c r="T11" i="2"/>
  <c r="T12" i="2"/>
  <c r="T6" i="2"/>
  <c r="O102" i="2"/>
  <c r="N102" i="2"/>
  <c r="M102" i="2"/>
  <c r="L102" i="2"/>
  <c r="J102" i="2"/>
  <c r="G15" i="2"/>
  <c r="G16" i="2"/>
  <c r="G17" i="2"/>
  <c r="G18" i="2"/>
  <c r="AA37" i="2" s="1"/>
  <c r="G19" i="2"/>
  <c r="G20" i="2"/>
  <c r="G21" i="2"/>
  <c r="T39" i="2" s="1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5" i="2"/>
  <c r="AA32" i="2" s="1"/>
  <c r="G6" i="2"/>
  <c r="G7" i="2"/>
  <c r="G8" i="2"/>
  <c r="G9" i="2"/>
  <c r="AA34" i="2" s="1"/>
  <c r="G10" i="2"/>
  <c r="G11" i="2"/>
  <c r="G12" i="2"/>
  <c r="G13" i="2"/>
  <c r="AA36" i="2" s="1"/>
  <c r="G14" i="2"/>
  <c r="G4" i="2"/>
  <c r="G3" i="2"/>
  <c r="G2" i="2"/>
  <c r="T73" i="2" s="1"/>
  <c r="V85" i="2" l="1"/>
  <c r="V92" i="2"/>
  <c r="V84" i="2"/>
  <c r="W83" i="2"/>
  <c r="W92" i="2"/>
  <c r="W86" i="2"/>
  <c r="V90" i="2"/>
  <c r="W91" i="2"/>
  <c r="V89" i="2"/>
  <c r="W84" i="2"/>
  <c r="V86" i="2"/>
  <c r="W85" i="2"/>
  <c r="V91" i="2"/>
  <c r="W90" i="2"/>
  <c r="AB41" i="2"/>
  <c r="AA33" i="2"/>
  <c r="T159" i="2"/>
  <c r="T31" i="2"/>
  <c r="AA40" i="2"/>
  <c r="AA30" i="2"/>
  <c r="T13" i="2"/>
  <c r="T35" i="2"/>
  <c r="AA38" i="2"/>
  <c r="T23" i="2"/>
  <c r="T19" i="2"/>
  <c r="T38" i="2"/>
  <c r="T34" i="2"/>
  <c r="U39" i="2"/>
  <c r="U35" i="2"/>
  <c r="U31" i="2"/>
  <c r="V39" i="2"/>
  <c r="V35" i="2"/>
  <c r="W39" i="2"/>
  <c r="W35" i="2"/>
  <c r="W31" i="2"/>
  <c r="X39" i="2"/>
  <c r="X35" i="2"/>
  <c r="X31" i="2"/>
  <c r="Y39" i="2"/>
  <c r="Y35" i="2"/>
  <c r="Y31" i="2"/>
  <c r="Z39" i="2"/>
  <c r="Z35" i="2"/>
  <c r="Z31" i="2"/>
  <c r="AA39" i="2"/>
  <c r="AA35" i="2"/>
  <c r="AA31" i="2"/>
  <c r="T72" i="2"/>
  <c r="T76" i="2"/>
  <c r="T22" i="2"/>
  <c r="T37" i="2"/>
  <c r="T33" i="2"/>
  <c r="U38" i="2"/>
  <c r="U34" i="2"/>
  <c r="U30" i="2"/>
  <c r="V38" i="2"/>
  <c r="V34" i="2"/>
  <c r="V30" i="2"/>
  <c r="W38" i="2"/>
  <c r="W34" i="2"/>
  <c r="W30" i="2"/>
  <c r="X38" i="2"/>
  <c r="X34" i="2"/>
  <c r="X30" i="2"/>
  <c r="Y38" i="2"/>
  <c r="Y34" i="2"/>
  <c r="Y30" i="2"/>
  <c r="Z38" i="2"/>
  <c r="Z34" i="2"/>
  <c r="Z30" i="2"/>
  <c r="T52" i="2"/>
  <c r="U45" i="2" s="1"/>
  <c r="T79" i="2"/>
  <c r="T75" i="2"/>
  <c r="T17" i="2"/>
  <c r="T25" i="2" s="1"/>
  <c r="T21" i="2"/>
  <c r="T40" i="2"/>
  <c r="T36" i="2"/>
  <c r="T32" i="2"/>
  <c r="U29" i="2"/>
  <c r="U37" i="2"/>
  <c r="U33" i="2"/>
  <c r="V29" i="2"/>
  <c r="V37" i="2"/>
  <c r="V33" i="2"/>
  <c r="W29" i="2"/>
  <c r="W37" i="2"/>
  <c r="W33" i="2"/>
  <c r="X29" i="2"/>
  <c r="X37" i="2"/>
  <c r="X33" i="2"/>
  <c r="Y29" i="2"/>
  <c r="Y37" i="2"/>
  <c r="Y33" i="2"/>
  <c r="Z29" i="2"/>
  <c r="Z37" i="2"/>
  <c r="Z33" i="2"/>
  <c r="AA29" i="2"/>
  <c r="U68" i="2"/>
  <c r="T78" i="2"/>
  <c r="T74" i="2"/>
  <c r="T24" i="2"/>
  <c r="T20" i="2"/>
  <c r="U40" i="2"/>
  <c r="U36" i="2"/>
  <c r="U32" i="2"/>
  <c r="V40" i="2"/>
  <c r="V36" i="2"/>
  <c r="V32" i="2"/>
  <c r="W40" i="2"/>
  <c r="W36" i="2"/>
  <c r="W32" i="2"/>
  <c r="X40" i="2"/>
  <c r="X36" i="2"/>
  <c r="X32" i="2"/>
  <c r="Y40" i="2"/>
  <c r="Y36" i="2"/>
  <c r="Y32" i="2"/>
  <c r="Z40" i="2"/>
  <c r="Z36" i="2"/>
  <c r="Z32" i="2"/>
  <c r="T68" i="2"/>
  <c r="T77" i="2"/>
  <c r="AA41" i="2" l="1"/>
  <c r="X41" i="2"/>
  <c r="U47" i="2"/>
  <c r="Y41" i="2"/>
  <c r="U41" i="2"/>
  <c r="T41" i="2"/>
  <c r="U49" i="2"/>
  <c r="U51" i="2"/>
  <c r="V68" i="2"/>
  <c r="Z41" i="2"/>
  <c r="V41" i="2"/>
  <c r="U46" i="2"/>
  <c r="U52" i="2" s="1"/>
  <c r="U48" i="2"/>
  <c r="W41" i="2"/>
  <c r="U50" i="2"/>
</calcChain>
</file>

<file path=xl/sharedStrings.xml><?xml version="1.0" encoding="utf-8"?>
<sst xmlns="http://schemas.openxmlformats.org/spreadsheetml/2006/main" count="1756" uniqueCount="152">
  <si>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</si>
  <si>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</si>
  <si>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</si>
  <si>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</si>
  <si>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</si>
  <si>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</si>
  <si>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</si>
  <si>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</si>
  <si>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</si>
  <si>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</si>
  <si>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</si>
  <si>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</si>
  <si>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</si>
  <si>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</si>
  <si>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</si>
  <si>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</si>
  <si>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</si>
  <si>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</si>
  <si>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</si>
  <si>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</si>
  <si>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</si>
  <si>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</si>
  <si>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</si>
  <si>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</si>
  <si>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</si>
  <si>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</si>
  <si>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</si>
  <si>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</si>
  <si>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</si>
  <si>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</si>
  <si>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</si>
  <si>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</si>
  <si>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</si>
  <si>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</si>
  <si>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</si>
  <si>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</si>
  <si>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</si>
  <si>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</si>
  <si>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</si>
  <si>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</si>
  <si>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</si>
  <si>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</si>
  <si>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</si>
  <si>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</si>
  <si>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</si>
  <si>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</si>
  <si>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</si>
  <si>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</si>
  <si>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</si>
  <si>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</si>
  <si>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</si>
  <si>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</si>
  <si>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</si>
  <si>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</si>
  <si>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</si>
  <si>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</si>
  <si>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</si>
  <si>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</si>
  <si>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</si>
  <si>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</si>
  <si>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</si>
  <si>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</si>
  <si>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</si>
  <si>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</si>
  <si>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</si>
  <si>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</si>
  <si>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</si>
  <si>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</si>
  <si>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</si>
  <si>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</si>
  <si>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</si>
  <si>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</si>
  <si>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</si>
  <si>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</si>
  <si>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</si>
  <si>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</si>
  <si>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</si>
  <si>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</si>
  <si>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</si>
  <si>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</si>
  <si>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</si>
  <si>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</si>
  <si>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</si>
  <si>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</si>
  <si>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</si>
  <si>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</si>
  <si>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</si>
  <si>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</si>
  <si>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</si>
  <si>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</si>
  <si>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</si>
  <si>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</si>
  <si>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</si>
  <si>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</si>
  <si>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</si>
  <si>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</si>
  <si>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</si>
  <si>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</si>
  <si>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</si>
  <si>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</si>
  <si>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</si>
  <si>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</si>
  <si>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</si>
  <si>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</si>
  <si>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</si>
  <si>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</si>
  <si>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</si>
  <si>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</si>
  <si>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</si>
  <si>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</si>
  <si>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</si>
  <si>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</si>
  <si>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</si>
  <si>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</si>
  <si>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</si>
  <si>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Year</t>
  </si>
  <si>
    <t>Unit Price (£)</t>
  </si>
  <si>
    <t>Unit Cost (£)</t>
  </si>
  <si>
    <t>Total Revenue (£)</t>
  </si>
  <si>
    <t>Total Cost (£)</t>
  </si>
  <si>
    <t>Total Profit (£)</t>
  </si>
  <si>
    <t>Sum of Units Sold</t>
  </si>
  <si>
    <t>Sum of Total Revenue (£)</t>
  </si>
  <si>
    <t>Sum of Total Profit (£)</t>
  </si>
  <si>
    <t>Regions</t>
  </si>
  <si>
    <t>Total profit (£)</t>
  </si>
  <si>
    <t>Revenue (£)</t>
  </si>
  <si>
    <t>Total</t>
  </si>
  <si>
    <t>Rate (%)</t>
  </si>
  <si>
    <t>Rank</t>
  </si>
  <si>
    <t>YoY Growth Rate (%)</t>
  </si>
  <si>
    <t>Average Profit £)</t>
  </si>
  <si>
    <t>5. Gross Profit Margin Per Item Type</t>
  </si>
  <si>
    <t>2. Total Revenue Per Year</t>
  </si>
  <si>
    <t>1. Total Profit Per Region</t>
  </si>
  <si>
    <t>3. Year-on-Year Comparison of Quantity Sold Per Item Type</t>
  </si>
  <si>
    <t>4. Rate of Total Revenue Earned Per Region</t>
  </si>
  <si>
    <t>Profit Margin (%)</t>
  </si>
  <si>
    <r>
      <t>Item Types\</t>
    </r>
    <r>
      <rPr>
        <b/>
        <sz val="11"/>
        <color rgb="FF0070C0"/>
        <rFont val="Calibri"/>
        <family val="2"/>
        <scheme val="minor"/>
      </rPr>
      <t>Year</t>
    </r>
  </si>
  <si>
    <t>6. Average Profit Per Year</t>
  </si>
  <si>
    <t>7. Countries with Highest and Lowest Revenue</t>
  </si>
  <si>
    <t>(a) Top 4 Countries with Highest Revenue</t>
  </si>
  <si>
    <t>(b) Top 4 Countries with Lowest Revenue</t>
  </si>
  <si>
    <t>8. Year-on-Year Revenue Growth Rate</t>
  </si>
  <si>
    <t>Row Labels</t>
  </si>
  <si>
    <t>Grand Total</t>
  </si>
  <si>
    <t>Column Labels</t>
  </si>
  <si>
    <t>Product</t>
  </si>
  <si>
    <t xml:space="preserve">Share of  Revenue </t>
  </si>
  <si>
    <t>Profit Per Product (£)</t>
  </si>
  <si>
    <t>SYLIP CORPORATION</t>
  </si>
  <si>
    <t>Summary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</si>
</sst>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/d/yy\ h:mm\ AM/PM;@"/>
    <numFmt numFmtId="165" formatCode="dd/mm/yyyy;@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164" fontId="0" fillId="0" borderId="0"/>
    <xf numFmtId="164" fontId="7" fillId="2" borderId="0" applyNumberFormat="0" applyBorder="0" applyAlignment="0" applyProtection="0"/>
    <xf numFmtId="164" fontId="7" fillId="3" borderId="0" applyNumberFormat="0" applyBorder="0" applyAlignment="0" applyProtection="0"/>
    <xf numFmtId="164" fontId="7" fillId="4" borderId="0" applyNumberFormat="0" applyBorder="0" applyAlignment="0" applyProtection="0"/>
    <xf numFmtId="164" fontId="7" fillId="14" borderId="0" applyNumberFormat="0" applyBorder="0" applyAlignment="0" applyProtection="0"/>
    <xf numFmtId="164" fontId="7" fillId="5" borderId="0" applyNumberFormat="0" applyBorder="0" applyAlignment="0" applyProtection="0"/>
    <xf numFmtId="164" fontId="7" fillId="6" borderId="0" applyNumberFormat="0" applyBorder="0" applyAlignment="0" applyProtection="0"/>
    <xf numFmtId="164" fontId="7" fillId="15" borderId="0" applyNumberFormat="0" applyBorder="0" applyAlignment="0" applyProtection="0"/>
    <xf numFmtId="164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7" fillId="16" borderId="0" applyNumberFormat="0" applyBorder="0" applyAlignment="0" applyProtection="0"/>
    <xf numFmtId="164" fontId="7" fillId="17" borderId="0" applyNumberFormat="0" applyBorder="0" applyAlignment="0" applyProtection="0"/>
    <xf numFmtId="164" fontId="7" fillId="7" borderId="0" applyNumberFormat="0" applyBorder="0" applyAlignment="0" applyProtection="0"/>
    <xf numFmtId="164" fontId="8" fillId="8" borderId="0" applyNumberFormat="0" applyBorder="0" applyAlignment="0" applyProtection="0"/>
    <xf numFmtId="164" fontId="8" fillId="3" borderId="0" applyNumberFormat="0" applyBorder="0" applyAlignment="0" applyProtection="0"/>
    <xf numFmtId="164" fontId="8" fillId="18" borderId="0" applyNumberFormat="0" applyBorder="0" applyAlignment="0" applyProtection="0"/>
    <xf numFmtId="164" fontId="8" fillId="19" borderId="0" applyNumberFormat="0" applyBorder="0" applyAlignment="0" applyProtection="0"/>
    <xf numFmtId="164" fontId="8" fillId="8" borderId="0" applyNumberFormat="0" applyBorder="0" applyAlignment="0" applyProtection="0"/>
    <xf numFmtId="164" fontId="8" fillId="9" borderId="0" applyNumberFormat="0" applyBorder="0" applyAlignment="0" applyProtection="0"/>
    <xf numFmtId="164" fontId="8" fillId="10" borderId="0" applyNumberFormat="0" applyBorder="0" applyAlignment="0" applyProtection="0"/>
    <xf numFmtId="164" fontId="8" fillId="11" borderId="0" applyNumberFormat="0" applyBorder="0" applyAlignment="0" applyProtection="0"/>
    <xf numFmtId="164" fontId="8" fillId="20" borderId="0" applyNumberFormat="0" applyBorder="0" applyAlignment="0" applyProtection="0"/>
    <xf numFmtId="164" fontId="8" fillId="12" borderId="0" applyNumberFormat="0" applyBorder="0" applyAlignment="0" applyProtection="0"/>
    <xf numFmtId="164" fontId="8" fillId="10" borderId="0" applyNumberFormat="0" applyBorder="0" applyAlignment="0" applyProtection="0"/>
    <xf numFmtId="164" fontId="8" fillId="9" borderId="0" applyNumberFormat="0" applyBorder="0" applyAlignment="0" applyProtection="0"/>
    <xf numFmtId="164" fontId="9" fillId="13" borderId="0" applyNumberFormat="0" applyBorder="0" applyAlignment="0" applyProtection="0"/>
    <xf numFmtId="164" fontId="10" fillId="3" borderId="5" applyNumberFormat="0" applyAlignment="0" applyProtection="0"/>
    <xf numFmtId="164" fontId="11" fillId="21" borderId="6" applyNumberFormat="0" applyAlignment="0" applyProtection="0"/>
    <xf numFmtId="164" fontId="12" fillId="0" borderId="0" applyNumberFormat="0" applyFill="0" applyBorder="0" applyAlignment="0" applyProtection="0"/>
    <xf numFmtId="164" fontId="13" fillId="6" borderId="0" applyNumberFormat="0" applyBorder="0" applyAlignment="0" applyProtection="0"/>
    <xf numFmtId="164" fontId="5" fillId="0" borderId="1" applyNumberFormat="0" applyFill="0" applyAlignment="0" applyProtection="0"/>
    <xf numFmtId="164" fontId="14" fillId="0" borderId="7" applyNumberFormat="0" applyFill="0" applyAlignment="0" applyProtection="0"/>
    <xf numFmtId="164" fontId="6" fillId="0" borderId="2" applyNumberFormat="0" applyFill="0" applyAlignment="0" applyProtection="0"/>
    <xf numFmtId="164" fontId="2" fillId="0" borderId="0" applyNumberFormat="0" applyFill="0" applyBorder="0" applyAlignment="0" applyProtection="0"/>
    <xf numFmtId="164" fontId="15" fillId="3" borderId="5" applyNumberFormat="0" applyAlignment="0" applyProtection="0"/>
    <xf numFmtId="164" fontId="3" fillId="0" borderId="3" applyNumberFormat="0" applyFill="0" applyAlignment="0" applyProtection="0"/>
    <xf numFmtId="164" fontId="16" fillId="22" borderId="0" applyNumberFormat="0" applyBorder="0" applyAlignment="0" applyProtection="0"/>
    <xf numFmtId="164" fontId="1" fillId="23" borderId="8" applyNumberFormat="0" applyFont="0" applyAlignment="0" applyProtection="0"/>
    <xf numFmtId="164" fontId="17" fillId="3" borderId="9" applyNumberFormat="0" applyAlignment="0" applyProtection="0"/>
    <xf numFmtId="164" fontId="4" fillId="0" borderId="0" applyNumberFormat="0" applyFill="0" applyBorder="0" applyAlignment="0" applyProtection="0"/>
    <xf numFmtId="164" fontId="18" fillId="0" borderId="4" applyNumberFormat="0" applyFill="0" applyAlignment="0" applyProtection="0"/>
    <xf numFmtId="164" fontId="19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47">
    <xf numFmtId="164" fontId="0" fillId="0" borderId="0" xfId="0"/>
    <xf numFmtId="0" fontId="0" fillId="0" borderId="0" xfId="0" applyNumberFormat="1"/>
    <xf numFmtId="165" fontId="0" fillId="0" borderId="0" xfId="0" applyNumberFormat="1"/>
    <xf numFmtId="49" fontId="0" fillId="0" borderId="0" xfId="0" applyNumberFormat="1"/>
    <xf numFmtId="43" fontId="0" fillId="0" borderId="0" xfId="42" applyFont="1"/>
    <xf numFmtId="166" fontId="0" fillId="0" borderId="0" xfId="42" applyNumberFormat="1" applyFont="1"/>
    <xf numFmtId="164" fontId="0" fillId="0" borderId="10" xfId="0" applyBorder="1"/>
    <xf numFmtId="165" fontId="0" fillId="0" borderId="10" xfId="0" applyNumberFormat="1" applyBorder="1"/>
    <xf numFmtId="49" fontId="0" fillId="0" borderId="10" xfId="0" applyNumberFormat="1" applyBorder="1"/>
    <xf numFmtId="0" fontId="0" fillId="0" borderId="10" xfId="0" applyNumberFormat="1" applyBorder="1"/>
    <xf numFmtId="166" fontId="0" fillId="0" borderId="10" xfId="42" applyNumberFormat="1" applyFont="1" applyBorder="1"/>
    <xf numFmtId="43" fontId="0" fillId="0" borderId="10" xfId="42" applyFont="1" applyBorder="1"/>
    <xf numFmtId="164" fontId="18" fillId="0" borderId="10" xfId="0" applyFont="1" applyBorder="1"/>
    <xf numFmtId="165" fontId="18" fillId="0" borderId="10" xfId="0" applyNumberFormat="1" applyFont="1" applyBorder="1"/>
    <xf numFmtId="49" fontId="18" fillId="0" borderId="10" xfId="0" applyNumberFormat="1" applyFont="1" applyBorder="1"/>
    <xf numFmtId="0" fontId="18" fillId="0" borderId="10" xfId="0" applyNumberFormat="1" applyFont="1" applyBorder="1"/>
    <xf numFmtId="166" fontId="18" fillId="0" borderId="10" xfId="42" applyNumberFormat="1" applyFont="1" applyBorder="1"/>
    <xf numFmtId="43" fontId="18" fillId="0" borderId="10" xfId="42" applyFont="1" applyBorder="1"/>
    <xf numFmtId="43" fontId="0" fillId="0" borderId="10" xfId="42" applyFont="1" applyBorder="1" applyAlignment="1">
      <alignment horizontal="right"/>
    </xf>
    <xf numFmtId="164" fontId="18" fillId="0" borderId="10" xfId="0" applyFont="1" applyBorder="1" applyAlignment="1">
      <alignment horizontal="right"/>
    </xf>
    <xf numFmtId="49" fontId="21" fillId="0" borderId="10" xfId="0" applyNumberFormat="1" applyFont="1" applyBorder="1" applyAlignment="1">
      <alignment horizontal="right"/>
    </xf>
    <xf numFmtId="166" fontId="0" fillId="0" borderId="11" xfId="42" applyNumberFormat="1" applyFont="1" applyBorder="1"/>
    <xf numFmtId="164" fontId="20" fillId="0" borderId="10" xfId="0" applyFont="1" applyBorder="1" applyAlignment="1">
      <alignment horizontal="left"/>
    </xf>
    <xf numFmtId="2" fontId="0" fillId="0" borderId="10" xfId="0" applyNumberFormat="1" applyBorder="1"/>
    <xf numFmtId="2" fontId="18" fillId="0" borderId="10" xfId="0" applyNumberFormat="1" applyFont="1" applyBorder="1"/>
    <xf numFmtId="164" fontId="22" fillId="0" borderId="10" xfId="0" applyFont="1" applyBorder="1"/>
    <xf numFmtId="0" fontId="0" fillId="0" borderId="10" xfId="0" applyNumberFormat="1" applyBorder="1" applyAlignment="1">
      <alignment horizontal="left"/>
    </xf>
    <xf numFmtId="43" fontId="18" fillId="0" borderId="10" xfId="42" applyFont="1" applyBorder="1" applyAlignment="1">
      <alignment horizontal="right"/>
    </xf>
    <xf numFmtId="0" fontId="18" fillId="0" borderId="10" xfId="0" applyNumberFormat="1" applyFont="1" applyBorder="1" applyAlignment="1">
      <alignment horizontal="left"/>
    </xf>
    <xf numFmtId="43" fontId="18" fillId="0" borderId="10" xfId="42" applyFont="1" applyFill="1" applyBorder="1" applyAlignment="1">
      <alignment horizontal="right"/>
    </xf>
    <xf numFmtId="164" fontId="22" fillId="0" borderId="11" xfId="0" applyFont="1" applyBorder="1"/>
    <xf numFmtId="1" fontId="0" fillId="0" borderId="10" xfId="42" applyNumberFormat="1" applyFont="1" applyBorder="1"/>
    <xf numFmtId="1" fontId="18" fillId="0" borderId="10" xfId="42" applyNumberFormat="1" applyFont="1" applyBorder="1"/>
    <xf numFmtId="164" fontId="0" fillId="0" borderId="10" xfId="0" pivotButton="1" applyBorder="1"/>
    <xf numFmtId="164" fontId="0" fillId="0" borderId="10" xfId="0" applyBorder="1" applyAlignment="1">
      <alignment horizontal="left"/>
    </xf>
    <xf numFmtId="43" fontId="0" fillId="0" borderId="10" xfId="0" applyNumberFormat="1" applyBorder="1"/>
    <xf numFmtId="49" fontId="0" fillId="0" borderId="10" xfId="0" applyNumberFormat="1" applyBorder="1" applyAlignment="1">
      <alignment horizontal="left"/>
    </xf>
    <xf numFmtId="164" fontId="0" fillId="0" borderId="10" xfId="0" applyBorder="1" applyAlignment="1">
      <alignment wrapText="1"/>
    </xf>
    <xf numFmtId="10" fontId="0" fillId="0" borderId="10" xfId="0" applyNumberFormat="1" applyBorder="1"/>
    <xf numFmtId="43" fontId="18" fillId="0" borderId="10" xfId="42" applyFont="1" applyFill="1" applyBorder="1"/>
    <xf numFmtId="164" fontId="21" fillId="0" borderId="10" xfId="0" applyFont="1" applyBorder="1" applyAlignment="1">
      <alignment horizontal="right"/>
    </xf>
    <xf numFmtId="49" fontId="18" fillId="0" borderId="10" xfId="0" applyNumberFormat="1" applyFont="1" applyBorder="1" applyAlignment="1">
      <alignment horizontal="left"/>
    </xf>
    <xf numFmtId="164" fontId="18" fillId="0" borderId="10" xfId="0" applyFont="1" applyBorder="1" applyAlignment="1">
      <alignment horizontal="left"/>
    </xf>
    <xf numFmtId="164" fontId="20" fillId="0" borderId="10" xfId="0" applyFont="1" applyBorder="1" applyAlignment="1">
      <alignment horizontal="left"/>
    </xf>
    <xf numFmtId="164" fontId="0" fillId="0" borderId="10" xfId="0" pivotButton="1" applyBorder="1" applyAlignment="1">
      <alignment vertical="center"/>
    </xf>
    <xf numFmtId="164" fontId="0" fillId="0" borderId="10" xfId="0" applyBorder="1" applyAlignment="1">
      <alignment vertical="center" wrapText="1"/>
    </xf>
    <xf numFmtId="164" fontId="18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33"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4" formatCode="0.00%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4" formatCode="0.00%"/>
    </dxf>
    <dxf>
      <alignment vertical="center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4" formatCode="0.00%"/>
    </dxf>
    <dxf>
      <alignment vertical="center"/>
    </dxf>
    <dxf>
      <alignment vertical="center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14" formatCode="0.00%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Total Profit</a:t>
            </a:r>
            <a:r>
              <a:rPr lang="en-US" sz="1200" b="1" baseline="0">
                <a:solidFill>
                  <a:sysClr val="windowText" lastClr="000000"/>
                </a:solidFill>
                <a:latin typeface="+mn-lt"/>
              </a:rPr>
              <a:t> Per Region</a:t>
            </a: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89841525933979"/>
          <c:y val="0.15766666666666668"/>
          <c:w val="0.6854364028549883"/>
          <c:h val="0.41565879265091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Tables_Charts!$T$5</c:f>
              <c:strCache>
                <c:ptCount val="1"/>
                <c:pt idx="0">
                  <c:v>Total profit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Tables_Charts!$S$6:$S$12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Tables_Charts!$T$6:$T$12</c:f>
              <c:numCache>
                <c:formatCode>_(* #,##0.00_);_(* \(#,##0.00\);_(* "-"??_);_(@_)</c:formatCode>
                <c:ptCount val="7"/>
                <c:pt idx="0">
                  <c:v>6113845.8700000001</c:v>
                </c:pt>
                <c:pt idx="1">
                  <c:v>4722160.03</c:v>
                </c:pt>
                <c:pt idx="2">
                  <c:v>2846907.85</c:v>
                </c:pt>
                <c:pt idx="3">
                  <c:v>11082938.629999999</c:v>
                </c:pt>
                <c:pt idx="4">
                  <c:v>5761191.8599999994</c:v>
                </c:pt>
                <c:pt idx="5">
                  <c:v>1457942.76</c:v>
                </c:pt>
                <c:pt idx="6">
                  <c:v>12183211.400000004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D-4FD7-8DF5-C128BF33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702319"/>
        <c:axId val="1399717679"/>
      </c:barChart>
      <c:catAx>
        <c:axId val="139970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679"/>
        <c:crosses val="autoZero"/>
        <c:auto val="1"/>
        <c:lblAlgn val="ctr"/>
        <c:lblOffset val="100"/>
        <c:noMultiLvlLbl val="0"/>
      </c:catAx>
      <c:valAx>
        <c:axId val="13997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Total</a:t>
                </a:r>
                <a:r>
                  <a:rPr lang="en-GB" sz="1200" b="1" baseline="0">
                    <a:solidFill>
                      <a:sysClr val="windowText" lastClr="000000"/>
                    </a:solidFill>
                  </a:rPr>
                  <a:t> Profit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Total Revenue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Tables_Charts!$S$17:$S$24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Tables_Charts!$T$17:$T$24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C-4539-8C79-804E1FD8D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99717199"/>
        <c:axId val="1399702799"/>
      </c:barChart>
      <c:catAx>
        <c:axId val="139971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2799"/>
        <c:crosses val="autoZero"/>
        <c:auto val="1"/>
        <c:lblAlgn val="ctr"/>
        <c:lblOffset val="100"/>
        <c:noMultiLvlLbl val="0"/>
      </c:catAx>
      <c:valAx>
        <c:axId val="13997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17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600">
                <a:solidFill>
                  <a:sysClr val="windowText" lastClr="000000"/>
                </a:solidFill>
                <a:latin typeface="+mn-lt"/>
              </a:rPr>
              <a:t>Year-on-Year Sales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Tables_Charts!$S$29</c:f>
              <c:strCache>
                <c:ptCount val="1"/>
                <c:pt idx="0">
                  <c:v>Baby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Tables_Charts!$T$29:$AA$29</c:f>
              <c:numCache>
                <c:formatCode>_-* #,##0_-;\-* #,##0_-;_-* "-"??_-;_-@_-</c:formatCode>
                <c:ptCount val="8"/>
                <c:pt idx="0">
                  <c:v>9925</c:v>
                </c:pt>
                <c:pt idx="1">
                  <c:v>0</c:v>
                </c:pt>
                <c:pt idx="2">
                  <c:v>8614</c:v>
                </c:pt>
                <c:pt idx="3">
                  <c:v>4750</c:v>
                </c:pt>
                <c:pt idx="4">
                  <c:v>13009</c:v>
                </c:pt>
                <c:pt idx="5">
                  <c:v>4247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0-42BC-BFCC-CAAE6BE22CE0}"/>
            </c:ext>
          </c:extLst>
        </c:ser>
        <c:ser>
          <c:idx val="1"/>
          <c:order val="1"/>
          <c:tx>
            <c:strRef>
              <c:f>Tables_Charts!$S$30</c:f>
              <c:strCache>
                <c:ptCount val="1"/>
                <c:pt idx="0">
                  <c:v>Cereal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Tables_Charts!$T$30:$AA$30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4921</c:v>
                </c:pt>
                <c:pt idx="3">
                  <c:v>4745</c:v>
                </c:pt>
                <c:pt idx="4">
                  <c:v>6593</c:v>
                </c:pt>
                <c:pt idx="5">
                  <c:v>0</c:v>
                </c:pt>
                <c:pt idx="6">
                  <c:v>962</c:v>
                </c:pt>
                <c:pt idx="7">
                  <c:v>8656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0-42BC-BFCC-CAAE6BE22CE0}"/>
            </c:ext>
          </c:extLst>
        </c:ser>
        <c:ser>
          <c:idx val="2"/>
          <c:order val="2"/>
          <c:tx>
            <c:strRef>
              <c:f>Tables_Charts!$S$31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Tables_Charts!$T$31:$AA$31</c:f>
              <c:numCache>
                <c:formatCode>_-* #,##0_-;\-* #,##0_-;_-* "-"??_-;_-@_-</c:formatCode>
                <c:ptCount val="8"/>
                <c:pt idx="0">
                  <c:v>8287</c:v>
                </c:pt>
                <c:pt idx="1">
                  <c:v>8975</c:v>
                </c:pt>
                <c:pt idx="2">
                  <c:v>13982</c:v>
                </c:pt>
                <c:pt idx="3">
                  <c:v>10072</c:v>
                </c:pt>
                <c:pt idx="4">
                  <c:v>1779</c:v>
                </c:pt>
                <c:pt idx="5">
                  <c:v>2924</c:v>
                </c:pt>
                <c:pt idx="6">
                  <c:v>948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0-42BC-BFCC-CAAE6BE22CE0}"/>
            </c:ext>
          </c:extLst>
        </c:ser>
        <c:ser>
          <c:idx val="3"/>
          <c:order val="3"/>
          <c:tx>
            <c:strRef>
              <c:f>Tables_Charts!$S$32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Tables_Charts!$T$32:$AA$32</c:f>
              <c:numCache>
                <c:formatCode>_-* #,##0_-;\-* #,##0_-;_-* "-"??_-;_-@_-</c:formatCode>
                <c:ptCount val="8"/>
                <c:pt idx="0">
                  <c:v>5822</c:v>
                </c:pt>
                <c:pt idx="1">
                  <c:v>10051</c:v>
                </c:pt>
                <c:pt idx="2">
                  <c:v>522</c:v>
                </c:pt>
                <c:pt idx="3">
                  <c:v>17243</c:v>
                </c:pt>
                <c:pt idx="4">
                  <c:v>15687</c:v>
                </c:pt>
                <c:pt idx="5">
                  <c:v>673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0-42BC-BFCC-CAAE6BE22CE0}"/>
            </c:ext>
          </c:extLst>
        </c:ser>
        <c:ser>
          <c:idx val="4"/>
          <c:order val="4"/>
          <c:tx>
            <c:strRef>
              <c:f>Tables_Charts!$S$33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Tables_Charts!$T$33:$AA$33</c:f>
              <c:numCache>
                <c:formatCode>_-* #,##0_-;\-* #,##0_-;_-* "-"??_-;_-@_-</c:formatCode>
                <c:ptCount val="8"/>
                <c:pt idx="0">
                  <c:v>3830</c:v>
                </c:pt>
                <c:pt idx="1">
                  <c:v>4187</c:v>
                </c:pt>
                <c:pt idx="2">
                  <c:v>12532</c:v>
                </c:pt>
                <c:pt idx="3">
                  <c:v>0</c:v>
                </c:pt>
                <c:pt idx="4">
                  <c:v>6954</c:v>
                </c:pt>
                <c:pt idx="5">
                  <c:v>8250</c:v>
                </c:pt>
                <c:pt idx="6">
                  <c:v>0</c:v>
                </c:pt>
                <c:pt idx="7">
                  <c:v>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0-42BC-BFCC-CAAE6BE22CE0}"/>
            </c:ext>
          </c:extLst>
        </c:ser>
        <c:ser>
          <c:idx val="5"/>
          <c:order val="5"/>
          <c:tx>
            <c:strRef>
              <c:f>Tables_Charts!$S$34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Tables_Charts!$T$34:$AA$34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3856</c:v>
                </c:pt>
                <c:pt idx="2">
                  <c:v>14710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1485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0-42BC-BFCC-CAAE6BE22CE0}"/>
            </c:ext>
          </c:extLst>
        </c:ser>
        <c:ser>
          <c:idx val="6"/>
          <c:order val="6"/>
          <c:tx>
            <c:strRef>
              <c:f>Tables_Charts!$S$35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Tables_Charts!$T$35:$AA$35</c:f>
              <c:numCache>
                <c:formatCode>_-* #,##0_-;\-* #,##0_-;_-* "-"??_-;_-@_-</c:formatCode>
                <c:ptCount val="8"/>
                <c:pt idx="0">
                  <c:v>273</c:v>
                </c:pt>
                <c:pt idx="1">
                  <c:v>0</c:v>
                </c:pt>
                <c:pt idx="2">
                  <c:v>15078</c:v>
                </c:pt>
                <c:pt idx="3">
                  <c:v>2125</c:v>
                </c:pt>
                <c:pt idx="4">
                  <c:v>4901</c:v>
                </c:pt>
                <c:pt idx="5">
                  <c:v>11837</c:v>
                </c:pt>
                <c:pt idx="6">
                  <c:v>5070</c:v>
                </c:pt>
                <c:pt idx="7">
                  <c:v>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0-42BC-BFCC-CAAE6BE22CE0}"/>
            </c:ext>
          </c:extLst>
        </c:ser>
        <c:ser>
          <c:idx val="7"/>
          <c:order val="7"/>
          <c:tx>
            <c:strRef>
              <c:f>Tables_Charts!$S$36</c:f>
              <c:strCache>
                <c:ptCount val="1"/>
                <c:pt idx="0">
                  <c:v>Clothes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Tables_Charts!$T$36:$AA$36</c:f>
              <c:numCache>
                <c:formatCode>_-* #,##0_-;\-* #,##0_-;_-* "-"??_-;_-@_-</c:formatCode>
                <c:ptCount val="8"/>
                <c:pt idx="0">
                  <c:v>18290</c:v>
                </c:pt>
                <c:pt idx="1">
                  <c:v>888</c:v>
                </c:pt>
                <c:pt idx="2">
                  <c:v>13039</c:v>
                </c:pt>
                <c:pt idx="3">
                  <c:v>0</c:v>
                </c:pt>
                <c:pt idx="4">
                  <c:v>12010</c:v>
                </c:pt>
                <c:pt idx="5">
                  <c:v>13272</c:v>
                </c:pt>
                <c:pt idx="6">
                  <c:v>5498</c:v>
                </c:pt>
                <c:pt idx="7">
                  <c:v>8263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0-42BC-BFCC-CAAE6BE22CE0}"/>
            </c:ext>
          </c:extLst>
        </c:ser>
        <c:ser>
          <c:idx val="8"/>
          <c:order val="8"/>
          <c:tx>
            <c:strRef>
              <c:f>Tables_Charts!$S$37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Tables_Charts!$T$37:$AA$37</c:f>
              <c:numCache>
                <c:formatCode>_-* #,##0_-;\-* #,##0_-;_-* "-"??_-;_-@_-</c:formatCode>
                <c:ptCount val="8"/>
                <c:pt idx="0">
                  <c:v>15144</c:v>
                </c:pt>
                <c:pt idx="1">
                  <c:v>0</c:v>
                </c:pt>
                <c:pt idx="2">
                  <c:v>8661</c:v>
                </c:pt>
                <c:pt idx="3">
                  <c:v>25728</c:v>
                </c:pt>
                <c:pt idx="4">
                  <c:v>7215</c:v>
                </c:pt>
                <c:pt idx="5">
                  <c:v>2847</c:v>
                </c:pt>
                <c:pt idx="6">
                  <c:v>22308</c:v>
                </c:pt>
                <c:pt idx="7">
                  <c:v>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AE0-42BC-BFCC-CAAE6BE22CE0}"/>
            </c:ext>
          </c:extLst>
        </c:ser>
        <c:ser>
          <c:idx val="9"/>
          <c:order val="9"/>
          <c:tx>
            <c:strRef>
              <c:f>Tables_Charts!$S$38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Tables_Charts!$T$38:$AA$38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22726</c:v>
                </c:pt>
                <c:pt idx="2">
                  <c:v>0</c:v>
                </c:pt>
                <c:pt idx="3">
                  <c:v>0</c:v>
                </c:pt>
                <c:pt idx="4">
                  <c:v>23892</c:v>
                </c:pt>
                <c:pt idx="5">
                  <c:v>5430</c:v>
                </c:pt>
                <c:pt idx="6">
                  <c:v>4660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AE0-42BC-BFCC-CAAE6BE22CE0}"/>
            </c:ext>
          </c:extLst>
        </c:ser>
        <c:ser>
          <c:idx val="10"/>
          <c:order val="10"/>
          <c:tx>
            <c:strRef>
              <c:f>Tables_Charts!$S$39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Tables_Charts!$T$39:$AA$39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5908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AE0-42BC-BFCC-CAAE6BE22CE0}"/>
            </c:ext>
          </c:extLst>
        </c:ser>
        <c:ser>
          <c:idx val="11"/>
          <c:order val="11"/>
          <c:tx>
            <c:strRef>
              <c:f>Tables_Charts!$S$40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Tables_Charts!$T$28:$AA$28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Tables_Charts!$T$40:$AA$40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4085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2225</c:v>
                </c:pt>
                <c:pt idx="7">
                  <c:v>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AE0-42BC-BFCC-CAAE6BE2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479775"/>
        <c:axId val="1286486975"/>
      </c:barChart>
      <c:catAx>
        <c:axId val="128647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4796814743073204"/>
              <c:y val="0.88895538057742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86975"/>
        <c:crosses val="autoZero"/>
        <c:auto val="1"/>
        <c:lblAlgn val="ctr"/>
        <c:lblOffset val="100"/>
        <c:noMultiLvlLbl val="0"/>
      </c:catAx>
      <c:valAx>
        <c:axId val="12864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>
                    <a:solidFill>
                      <a:sysClr val="windowText" lastClr="000000"/>
                    </a:solidFill>
                  </a:rPr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79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Per Region</a:t>
            </a:r>
          </a:p>
        </c:rich>
      </c:tx>
      <c:layout>
        <c:manualLayout>
          <c:xMode val="edge"/>
          <c:yMode val="edge"/>
          <c:x val="0.325040033004115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200458190148912E-2"/>
          <c:y val="0.26524498252541578"/>
          <c:w val="0.62415365605072559"/>
          <c:h val="0.684202120037257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ADB-42E8-B501-28B7A7439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ADB-42E8-B501-28B7A7439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ADB-42E8-B501-28B7A7439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CADB-42E8-B501-28B7A7439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CADB-42E8-B501-28B7A74399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ADB-42E8-B501-28B7A74399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CADB-42E8-B501-28B7A743996F}"/>
              </c:ext>
            </c:extLst>
          </c:dPt>
          <c:dLbls>
            <c:dLbl>
              <c:idx val="0"/>
              <c:layout>
                <c:manualLayout>
                  <c:x val="3.3703126389565102E-2"/>
                  <c:y val="4.97166084783666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DB-42E8-B501-28B7A743996F}"/>
                </c:ext>
              </c:extLst>
            </c:dLbl>
            <c:dLbl>
              <c:idx val="1"/>
              <c:layout>
                <c:manualLayout>
                  <c:x val="3.8459710608463017E-2"/>
                  <c:y val="-6.26582348250736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DB-42E8-B501-28B7A743996F}"/>
                </c:ext>
              </c:extLst>
            </c:dLbl>
            <c:dLbl>
              <c:idx val="2"/>
              <c:layout>
                <c:manualLayout>
                  <c:x val="9.9741146814478678E-3"/>
                  <c:y val="9.752750785957593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DB-42E8-B501-28B7A743996F}"/>
                </c:ext>
              </c:extLst>
            </c:dLbl>
            <c:dLbl>
              <c:idx val="3"/>
              <c:layout>
                <c:manualLayout>
                  <c:x val="1.2929468153830169E-2"/>
                  <c:y val="-9.711280991453548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DB-42E8-B501-28B7A743996F}"/>
                </c:ext>
              </c:extLst>
            </c:dLbl>
            <c:dLbl>
              <c:idx val="4"/>
              <c:layout>
                <c:manualLayout>
                  <c:x val="-1.8505698835838306E-2"/>
                  <c:y val="-6.44356617135634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DB-42E8-B501-28B7A743996F}"/>
                </c:ext>
              </c:extLst>
            </c:dLbl>
            <c:dLbl>
              <c:idx val="5"/>
              <c:layout>
                <c:manualLayout>
                  <c:x val="-2.6050297929626265E-2"/>
                  <c:y val="-0.205722726654736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DB-42E8-B501-28B7A743996F}"/>
                </c:ext>
              </c:extLst>
            </c:dLbl>
            <c:dLbl>
              <c:idx val="6"/>
              <c:layout>
                <c:manualLayout>
                  <c:x val="3.2184711850777675E-2"/>
                  <c:y val="-0.127646127219880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DB-42E8-B501-28B7A743996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Tables_Charts!$T$45:$T$51</c:f>
              <c:numCache>
                <c:formatCode>_(* #,##0.00_);_(* \(#,##0.00\);_(* "-"??_);_(@_)</c:formatCode>
                <c:ptCount val="7"/>
                <c:pt idx="0">
                  <c:v>21347091.020000003</c:v>
                </c:pt>
                <c:pt idx="1">
                  <c:v>14094265.130000003</c:v>
                </c:pt>
                <c:pt idx="2">
                  <c:v>9170385.4900000002</c:v>
                </c:pt>
                <c:pt idx="3">
                  <c:v>33368932.109999999</c:v>
                </c:pt>
                <c:pt idx="4">
                  <c:v>14052706.58</c:v>
                </c:pt>
                <c:pt idx="5">
                  <c:v>5643356.5500000007</c:v>
                </c:pt>
                <c:pt idx="6">
                  <c:v>39672031.430000007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B-42E8-B501-28B7A74399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D90-44A5-9A72-700ADAB514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D90-44A5-9A72-700ADAB514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D90-44A5-9A72-700ADAB514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D90-44A5-9A72-700ADAB514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D90-44A5-9A72-700ADAB514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2D90-44A5-9A72-700ADAB514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D90-44A5-9A72-700ADAB514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Tables_Charts!$S$45:$S$51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Tables_Charts!$U$45:$U$51</c:f>
              <c:numCache>
                <c:formatCode>0.00</c:formatCode>
                <c:ptCount val="7"/>
                <c:pt idx="0">
                  <c:v>15.542251512455522</c:v>
                </c:pt>
                <c:pt idx="1">
                  <c:v>10.261661100730699</c:v>
                </c:pt>
                <c:pt idx="2">
                  <c:v>6.6767147625977863</c:v>
                </c:pt>
                <c:pt idx="3">
                  <c:v>24.295035565725197</c:v>
                </c:pt>
                <c:pt idx="4">
                  <c:v>10.231403421312558</c:v>
                </c:pt>
                <c:pt idx="5">
                  <c:v>4.1087784182110658</c:v>
                </c:pt>
                <c:pt idx="6">
                  <c:v>28.884155218967184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B-42E8-B501-28B7A743996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8223378841463"/>
          <c:y val="0.23101621900640662"/>
          <c:w val="0.29337206422381612"/>
          <c:h val="0.729171415781366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Gross Profit Margin Per Item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611840895866212E-2"/>
          <c:y val="0.28918687839605334"/>
          <c:w val="0.91407413652871705"/>
          <c:h val="0.33018934506096442"/>
        </c:manualLayout>
      </c:layout>
      <c:bar3DChart>
        <c:barDir val="col"/>
        <c:grouping val="clustered"/>
        <c:varyColors val="0"/>
        <c:ser>
          <c:idx val="2"/>
          <c:order val="2"/>
          <c:tx>
            <c:v>Item Types</c:v>
          </c:tx>
          <c:spPr>
            <a:solidFill>
              <a:schemeClr val="accent1">
                <a:tint val="65000"/>
              </a:schemeClr>
            </a:solidFill>
            <a:ln>
              <a:solidFill>
                <a:schemeClr val="accent1">
                  <a:tint val="65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tint val="6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Tables_Charts!$S$56:$S$67</c:f>
              <c:strCache>
                <c:ptCount val="12"/>
                <c:pt idx="0">
                  <c:v>Baby Food</c:v>
                </c:pt>
                <c:pt idx="1">
                  <c:v>Cereal</c:v>
                </c:pt>
                <c:pt idx="2">
                  <c:v>Office Supplies</c:v>
                </c:pt>
                <c:pt idx="3">
                  <c:v>Fruits</c:v>
                </c:pt>
                <c:pt idx="4">
                  <c:v>Household</c:v>
                </c:pt>
                <c:pt idx="5">
                  <c:v>Vegetables</c:v>
                </c:pt>
                <c:pt idx="6">
                  <c:v>Personal Care</c:v>
                </c:pt>
                <c:pt idx="7">
                  <c:v>Clothes</c:v>
                </c:pt>
                <c:pt idx="8">
                  <c:v>Cosmetics</c:v>
                </c:pt>
                <c:pt idx="9">
                  <c:v>Beverages</c:v>
                </c:pt>
                <c:pt idx="10">
                  <c:v>Meat</c:v>
                </c:pt>
                <c:pt idx="11">
                  <c:v>Snacks</c:v>
                </c:pt>
              </c:strCache>
            </c:strRef>
          </c:cat>
          <c:val>
            <c:numRef>
              <c:f>Tables_Charts!$V$56:$V$67</c:f>
              <c:numCache>
                <c:formatCode>0</c:formatCode>
                <c:ptCount val="12"/>
                <c:pt idx="0">
                  <c:v>37.550924475086184</c:v>
                </c:pt>
                <c:pt idx="1">
                  <c:v>43.067574137092848</c:v>
                </c:pt>
                <c:pt idx="2">
                  <c:v>19.386987300563565</c:v>
                </c:pt>
                <c:pt idx="3">
                  <c:v>25.830653804930332</c:v>
                </c:pt>
                <c:pt idx="4">
                  <c:v>24.799856345489104</c:v>
                </c:pt>
                <c:pt idx="5">
                  <c:v>40.97754121770739</c:v>
                </c:pt>
                <c:pt idx="6">
                  <c:v>30.661935641747213</c:v>
                </c:pt>
                <c:pt idx="7">
                  <c:v>67.203513909224029</c:v>
                </c:pt>
                <c:pt idx="8">
                  <c:v>39.768984446477582</c:v>
                </c:pt>
                <c:pt idx="9">
                  <c:v>33.003161222339301</c:v>
                </c:pt>
                <c:pt idx="10">
                  <c:v>13.558036455000119</c:v>
                </c:pt>
                <c:pt idx="11">
                  <c:v>36.138419189933153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2-2292-4693-B047-206980981D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3905951"/>
        <c:axId val="1693906911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shade val="65000"/>
                    </a:schemeClr>
                  </a:solidFill>
                  <a:ln>
                    <a:solidFill>
                      <a:schemeClr val="accent1">
                        <a:shade val="65000"/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shade val="65000"/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Tables_Charts!$T$56:$T$67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10350327.6</c:v>
                      </c:pt>
                      <c:pt idx="1">
                        <c:v>5322898.9000000004</c:v>
                      </c:pt>
                      <c:pt idx="2">
                        <c:v>30585380.07</c:v>
                      </c:pt>
                      <c:pt idx="3">
                        <c:v>466481.34</c:v>
                      </c:pt>
                      <c:pt idx="4">
                        <c:v>29889712.289999995</c:v>
                      </c:pt>
                      <c:pt idx="5">
                        <c:v>3089057.06</c:v>
                      </c:pt>
                      <c:pt idx="6">
                        <c:v>3980904.8400000003</c:v>
                      </c:pt>
                      <c:pt idx="7">
                        <c:v>7787292.799999998</c:v>
                      </c:pt>
                      <c:pt idx="8">
                        <c:v>36601509.600000001</c:v>
                      </c:pt>
                      <c:pt idx="9">
                        <c:v>2690794.6</c:v>
                      </c:pt>
                      <c:pt idx="10">
                        <c:v>4503675.75</c:v>
                      </c:pt>
                      <c:pt idx="11">
                        <c:v>2080733.46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292-4693-B047-206980981D5F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1"/>
                  </a:solidFill>
                  <a:ln>
                    <a:solidFill>
                      <a:schemeClr val="accent1">
                        <a:lumMod val="75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translucentPowder">
                    <a:contourClr>
                      <a:schemeClr val="accent1"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Tables_Charts!$S$56:$S$67</c15:sqref>
                        </c15:formulaRef>
                      </c:ext>
                    </c:extLst>
                    <c:strCache>
                      <c:ptCount val="12"/>
                      <c:pt idx="0">
                        <c:v>Baby Food</c:v>
                      </c:pt>
                      <c:pt idx="1">
                        <c:v>Cereal</c:v>
                      </c:pt>
                      <c:pt idx="2">
                        <c:v>Office Supplies</c:v>
                      </c:pt>
                      <c:pt idx="3">
                        <c:v>Fruits</c:v>
                      </c:pt>
                      <c:pt idx="4">
                        <c:v>Household</c:v>
                      </c:pt>
                      <c:pt idx="5">
                        <c:v>Vegetables</c:v>
                      </c:pt>
                      <c:pt idx="6">
                        <c:v>Personal Care</c:v>
                      </c:pt>
                      <c:pt idx="7">
                        <c:v>Clothes</c:v>
                      </c:pt>
                      <c:pt idx="8">
                        <c:v>Cosmetics</c:v>
                      </c:pt>
                      <c:pt idx="9">
                        <c:v>Beverages</c:v>
                      </c:pt>
                      <c:pt idx="10">
                        <c:v>Meat</c:v>
                      </c:pt>
                      <c:pt idx="11">
                        <c:v>Snacks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Tables_Charts!$U$56:$U$67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3886643.7</c:v>
                      </c:pt>
                      <c:pt idx="1">
                        <c:v>2292443.4299999997</c:v>
                      </c:pt>
                      <c:pt idx="2">
                        <c:v>5929583.75</c:v>
                      </c:pt>
                      <c:pt idx="3">
                        <c:v>120495.18</c:v>
                      </c:pt>
                      <c:pt idx="4">
                        <c:v>7412605.7100000009</c:v>
                      </c:pt>
                      <c:pt idx="5">
                        <c:v>1265819.6300000001</c:v>
                      </c:pt>
                      <c:pt idx="6">
                        <c:v>1220622.48</c:v>
                      </c:pt>
                      <c:pt idx="7">
                        <c:v>5233334.4000000004</c:v>
                      </c:pt>
                      <c:pt idx="8">
                        <c:v>14556048.66</c:v>
                      </c:pt>
                      <c:pt idx="9">
                        <c:v>888047.27999999991</c:v>
                      </c:pt>
                      <c:pt idx="10">
                        <c:v>610610</c:v>
                      </c:pt>
                      <c:pt idx="11">
                        <c:v>751944.18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292-4693-B047-206980981D5F}"/>
                  </c:ext>
                </c:extLst>
              </c15:ser>
            </c15:filteredBarSeries>
          </c:ext>
        </c:extLst>
      </c:bar3DChart>
      <c:catAx>
        <c:axId val="16939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6911"/>
        <c:crosses val="autoZero"/>
        <c:auto val="1"/>
        <c:lblAlgn val="ctr"/>
        <c:lblOffset val="100"/>
        <c:noMultiLvlLbl val="0"/>
      </c:catAx>
      <c:valAx>
        <c:axId val="16939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Percentage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endParaRPr lang="en-GB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556241933846667E-3"/>
              <c:y val="0.34714174106163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9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Average</a:t>
            </a:r>
            <a:r>
              <a:rPr lang="en-GB" sz="1200" b="1" baseline="0">
                <a:solidFill>
                  <a:sysClr val="windowText" lastClr="000000"/>
                </a:solidFill>
              </a:rPr>
              <a:t> Profit Per Year</a:t>
            </a:r>
            <a:endParaRPr lang="en-GB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9737050072408363"/>
          <c:y val="0.17480746240781989"/>
          <c:w val="0.77586551413577143"/>
          <c:h val="0.574583982687180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Tables_Charts!$S$72:$S$79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Tables_Charts!$T$72:$T$79</c:f>
              <c:numCache>
                <c:formatCode>_(* #,##0.00_);_(* \(#,##0.00\);_(* "-"??_);_(@_)</c:formatCode>
                <c:ptCount val="8"/>
                <c:pt idx="0">
                  <c:v>662956.74300000002</c:v>
                </c:pt>
                <c:pt idx="1">
                  <c:v>228417.35250000004</c:v>
                </c:pt>
                <c:pt idx="2">
                  <c:v>418773.18727272731</c:v>
                </c:pt>
                <c:pt idx="3">
                  <c:v>559618.33666666655</c:v>
                </c:pt>
                <c:pt idx="4">
                  <c:v>391964.11199999996</c:v>
                </c:pt>
                <c:pt idx="5">
                  <c:v>363321.76727272733</c:v>
                </c:pt>
                <c:pt idx="6">
                  <c:v>490383.80099999998</c:v>
                </c:pt>
                <c:pt idx="7">
                  <c:v>511169.18125000002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0B2-9849-4C0A9663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31135"/>
        <c:axId val="1422631615"/>
      </c:barChart>
      <c:catAx>
        <c:axId val="142263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615"/>
        <c:crosses val="autoZero"/>
        <c:auto val="1"/>
        <c:lblAlgn val="ctr"/>
        <c:lblOffset val="100"/>
        <c:noMultiLvlLbl val="0"/>
      </c:catAx>
      <c:valAx>
        <c:axId val="14226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Average</a:t>
                </a:r>
                <a:r>
                  <a:rPr lang="en-GB" sz="1200" b="1" baseline="0"/>
                  <a:t> Profit (£)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31135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solidFill>
            <a:schemeClr val="accent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</a:rPr>
              <a:t>The Four</a:t>
            </a:r>
            <a:r>
              <a:rPr lang="en-GB" sz="1200" baseline="0">
                <a:solidFill>
                  <a:sysClr val="windowText" lastClr="000000"/>
                </a:solidFill>
              </a:rPr>
              <a:t> Topmost Revenue-Generating Countries</a:t>
            </a:r>
            <a:r>
              <a:rPr lang="en-GB" sz="12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Tables_Charts!$V$83:$V$86</c:f>
              <c:strCache>
                <c:ptCount val="4"/>
                <c:pt idx="0">
                  <c:v>Honduras</c:v>
                </c:pt>
                <c:pt idx="1">
                  <c:v>Myanmar</c:v>
                </c:pt>
                <c:pt idx="2">
                  <c:v>Djibouti</c:v>
                </c:pt>
                <c:pt idx="3">
                  <c:v>Turkmenistan</c:v>
                </c:pt>
              </c:strCache>
            </c:strRef>
          </c:cat>
          <c:val>
            <c:numRef>
              <c:f>Tables_Charts!$W$83:$W$86</c:f>
              <c:numCache>
                <c:formatCode>_(* #,##0.00_);_(* \(#,##0.00\);_(* "-"??_);_(@_)</c:formatCode>
                <c:ptCount val="4"/>
                <c:pt idx="0">
                  <c:v>6336545.4800000004</c:v>
                </c:pt>
                <c:pt idx="1">
                  <c:v>6161257.9000000004</c:v>
                </c:pt>
                <c:pt idx="2">
                  <c:v>6052890.8600000003</c:v>
                </c:pt>
                <c:pt idx="3">
                  <c:v>5822036.2000000002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6-479F-8A40-FA685936DE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20834015"/>
        <c:axId val="1720832095"/>
      </c:barChart>
      <c:catAx>
        <c:axId val="17208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2095"/>
        <c:crosses val="autoZero"/>
        <c:auto val="1"/>
        <c:lblAlgn val="ctr"/>
        <c:lblOffset val="100"/>
        <c:noMultiLvlLbl val="0"/>
      </c:catAx>
      <c:valAx>
        <c:axId val="17208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Revenue</a:t>
                </a:r>
                <a:r>
                  <a:rPr lang="en-GB" sz="1200" baseline="0"/>
                  <a:t> (£)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34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ysClr val="windowText" lastClr="000000"/>
                </a:solidFill>
              </a:rPr>
              <a:t>The Four Lowest Revenue-Generating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Tables_Charts!$V$89:$V$92</c:f>
              <c:strCache>
                <c:ptCount val="4"/>
                <c:pt idx="0">
                  <c:v>Kuwait</c:v>
                </c:pt>
                <c:pt idx="1">
                  <c:v>Kyrgyzstan</c:v>
                </c:pt>
                <c:pt idx="2">
                  <c:v>New Zealand</c:v>
                </c:pt>
                <c:pt idx="3">
                  <c:v>Slovakia</c:v>
                </c:pt>
              </c:strCache>
            </c:strRef>
          </c:cat>
          <c:val>
            <c:numRef>
              <c:f>Tables_Charts!$W$89:$W$92</c:f>
              <c:numCache>
                <c:formatCode>_(* #,##0.00_);_(* \(#,##0.00\);_(* "-"??_);_(@_)</c:formatCode>
                <c:ptCount val="4"/>
                <c:pt idx="0">
                  <c:v>4870.26</c:v>
                </c:pt>
                <c:pt idx="1">
                  <c:v>19103.439999999999</c:v>
                </c:pt>
                <c:pt idx="2">
                  <c:v>20404.71</c:v>
                </c:pt>
                <c:pt idx="3">
                  <c:v>26344.26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1-41E1-8498-976C9F7C2D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33613759"/>
        <c:axId val="1733617119"/>
      </c:barChart>
      <c:catAx>
        <c:axId val="173361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7119"/>
        <c:crosses val="autoZero"/>
        <c:auto val="1"/>
        <c:lblAlgn val="ctr"/>
        <c:lblOffset val="100"/>
        <c:noMultiLvlLbl val="0"/>
      </c:catAx>
      <c:valAx>
        <c:axId val="17336171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7336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GB" sz="1200">
                <a:solidFill>
                  <a:sysClr val="windowText" lastClr="000000"/>
                </a:solidFill>
                <a:latin typeface="+mn-lt"/>
              </a:rPr>
              <a:t>Revenue</a:t>
            </a:r>
            <a:r>
              <a:rPr lang="en-GB" sz="1200" baseline="0">
                <a:solidFill>
                  <a:sysClr val="windowText" lastClr="000000"/>
                </a:solidFill>
                <a:latin typeface="+mn-lt"/>
              </a:rPr>
              <a:t> Growth Year-on-Year</a:t>
            </a:r>
            <a:endParaRPr lang="en-GB" sz="1200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Tables_Charts!$S$163:$S$170</c:f>
              <c:numCache>
                <c:formatCode>@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Tables_Charts!$T$163:$T$170</c:f>
              <c:numCache>
                <c:formatCode>_(* #,##0.00_);_(* \(#,##0.00\);_(* "-"??_);_(@_)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5-443E-A87F-22EDF82A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619039"/>
        <c:axId val="1733616159"/>
      </c:lineChart>
      <c:catAx>
        <c:axId val="173361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4016744876587397"/>
              <c:y val="0.86499236416680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6159"/>
        <c:crosses val="autoZero"/>
        <c:auto val="1"/>
        <c:lblAlgn val="ctr"/>
        <c:lblOffset val="100"/>
        <c:noMultiLvlLbl val="0"/>
      </c:catAx>
      <c:valAx>
        <c:axId val="17336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Revenue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19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323849</xdr:colOff>
      <xdr:row>3</xdr:row>
      <xdr:rowOff>0</xdr:rowOff>
    </xdr:from>
    <xdr:to>
      <xdr:col>24</xdr:col>
      <xdr:colOff>190499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14058-13F6-38F9-C845-CD37E4830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57149</xdr:colOff>
      <xdr:row>14</xdr:row>
      <xdr:rowOff>19051</xdr:rowOff>
    </xdr:from>
    <xdr:to>
      <xdr:col>24</xdr:col>
      <xdr:colOff>209550</xdr:colOff>
      <xdr:row>24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E4B87-5E82-4BE1-420A-57A8E6BB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247650</xdr:colOff>
      <xdr:row>27</xdr:row>
      <xdr:rowOff>57150</xdr:rowOff>
    </xdr:from>
    <xdr:to>
      <xdr:col>37</xdr:col>
      <xdr:colOff>400050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4CC99A-9462-E5D6-FB9A-F9D3B529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190499</xdr:colOff>
      <xdr:row>41</xdr:row>
      <xdr:rowOff>180974</xdr:rowOff>
    </xdr:from>
    <xdr:to>
      <xdr:col>26</xdr:col>
      <xdr:colOff>571500</xdr:colOff>
      <xdr:row>52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0FCCFE-393A-7A47-61D1-7FE5D9DA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323850</xdr:colOff>
      <xdr:row>53</xdr:row>
      <xdr:rowOff>66675</xdr:rowOff>
    </xdr:from>
    <xdr:to>
      <xdr:col>27</xdr:col>
      <xdr:colOff>161925</xdr:colOff>
      <xdr:row>68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F0E94B-C74D-86A9-783E-735D4AA0E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333374</xdr:colOff>
      <xdr:row>68</xdr:row>
      <xdr:rowOff>180976</xdr:rowOff>
    </xdr:from>
    <xdr:to>
      <xdr:col>25</xdr:col>
      <xdr:colOff>123825</xdr:colOff>
      <xdr:row>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4C3F0F-9C77-2B98-E1D7-3F7704ED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238123</xdr:colOff>
      <xdr:row>79</xdr:row>
      <xdr:rowOff>180976</xdr:rowOff>
    </xdr:from>
    <xdr:to>
      <xdr:col>28</xdr:col>
      <xdr:colOff>85724</xdr:colOff>
      <xdr:row>91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1134FF2-A46E-7C01-C218-1DDFAC80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238125</xdr:colOff>
      <xdr:row>93</xdr:row>
      <xdr:rowOff>9525</xdr:rowOff>
    </xdr:from>
    <xdr:to>
      <xdr:col>28</xdr:col>
      <xdr:colOff>114300</xdr:colOff>
      <xdr:row>103</xdr:row>
      <xdr:rowOff>66674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B254BD-01BC-68BD-E890-0E759A42F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190499</xdr:colOff>
      <xdr:row>158</xdr:row>
      <xdr:rowOff>180975</xdr:rowOff>
    </xdr:from>
    <xdr:to>
      <xdr:col>25</xdr:col>
      <xdr:colOff>761999</xdr:colOff>
      <xdr:row>171</xdr:row>
      <xdr:rowOff>57149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62F2BC-2E37-3A9F-6FA7-11199E41E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02.462729166669" createdVersion="8" refreshedVersion="8" minRefreshableVersion="3" recordCount="100" xr:uid="{B46BC838-9F44-491E-B1F2-C7C95EB05CE2}">
  <cacheSource type="worksheet">
    <worksheetSource ref="A1:O101" sheet="Refined_Data"/>
  </cacheSource>
  <cacheFields count="15">
    <cacheField name="Region" numFmtId="164">
      <sharedItems count="7">
        <s v="Australia and Oceania"/>
        <s v="Central America and the Caribbean"/>
        <s v="Europe"/>
        <s v="Sub-Saharan Africa"/>
        <s v="Asia"/>
        <s v="Middle East and North Africa"/>
        <s v="North America"/>
      </sharedItems>
    </cacheField>
    <cacheField name="Country" numFmtId="164">
      <sharedItems count="76">
        <s v="Tuvalu"/>
        <s v="Grenada"/>
        <s v="Russia"/>
        <s v="Sao Tome and Principe"/>
        <s v="Rwanda"/>
        <s v="Solomon Islands"/>
        <s v="Angola"/>
        <s v="Burkina Faso"/>
        <s v="Republic of the Congo"/>
        <s v="Senegal"/>
        <s v="Kyrgyzstan"/>
        <s v="Cape Verde"/>
        <s v="Bangladesh"/>
        <s v="Honduras"/>
        <s v="Mongolia"/>
        <s v="Bulgaria"/>
        <s v="Sri Lanka"/>
        <s v="Cameroon"/>
        <s v="Turkmenistan"/>
        <s v="East Timor"/>
        <s v="Norway"/>
        <s v="Portugal"/>
        <s v="New Zealand"/>
        <s v="Moldova "/>
        <s v="France"/>
        <s v="Kiribati"/>
        <s v="Mali"/>
        <s v="The Gambia"/>
        <s v="Switzerland"/>
        <s v="South Sudan"/>
        <s v="Australia"/>
        <s v="Myanmar"/>
        <s v="Djibouti"/>
        <s v="Costa Rica"/>
        <s v="Syria"/>
        <s v="Brunei"/>
        <s v="Niger"/>
        <s v="Azerbaijan"/>
        <s v="Slovakia"/>
        <s v="Comoros"/>
        <s v="Iceland"/>
        <s v="Macedonia"/>
        <s v="Mauritania"/>
        <s v="Albania"/>
        <s v="Lesotho"/>
        <s v="Saudi Arabia"/>
        <s v="Sierra Leone"/>
        <s v="Cote d'Ivoire"/>
        <s v="Fiji"/>
        <s v="Austria"/>
        <s v="United Kingdom"/>
        <s v="San Marino"/>
        <s v="Libya"/>
        <s v="Haiti"/>
        <s v="Gabon"/>
        <s v="Belize"/>
        <s v="Lithuania"/>
        <s v="Madagascar"/>
        <s v="Democratic Republic of the Congo"/>
        <s v="Pakistan"/>
        <s v="Mexico"/>
        <s v="Federated States of Micronesia"/>
        <s v="Laos"/>
        <s v="Monaco"/>
        <s v="Samoa "/>
        <s v="Spain"/>
        <s v="Lebanon"/>
        <s v="Iran"/>
        <s v="Zambia"/>
        <s v="Kenya"/>
        <s v="Kuwait"/>
        <s v="Slovenia"/>
        <s v="Romania"/>
        <s v="Nicaragua"/>
        <s v="Malaysia"/>
        <s v="Mozambique"/>
      </sharedItems>
    </cacheField>
    <cacheField name="Item Type" numFmtId="164">
      <sharedItems count="12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</sharedItems>
    </cacheField>
    <cacheField name="Sales Channel" numFmtId="164">
      <sharedItems/>
    </cacheField>
    <cacheField name="Order Priority" numFmtId="164">
      <sharedItems/>
    </cacheField>
    <cacheField name="Order Date" numFmtId="165">
      <sharedItems containsSemiMixedTypes="0" containsNonDate="0" containsDate="1" containsString="0" minDate="2010-02-02T00:00:00" maxDate="2017-05-23T00:00:00"/>
    </cacheField>
    <cacheField name="Year" numFmtId="49">
      <sharedItems containsSemiMixedTypes="0" containsString="0" containsNumber="1" containsInteger="1" minValue="2010" maxValue="2017" count="8">
        <n v="2010"/>
        <n v="2012"/>
        <n v="2014"/>
        <n v="2013"/>
        <n v="2015"/>
        <n v="2011"/>
        <n v="2017"/>
        <n v="2016"/>
      </sharedItems>
    </cacheField>
    <cacheField name="Order ID" numFmtId="0">
      <sharedItems containsSemiMixedTypes="0" containsString="0" containsNumber="1" containsInteger="1" minValue="114606559" maxValue="994022214"/>
    </cacheField>
    <cacheField name="Ship Date" numFmtId="165">
      <sharedItems containsSemiMixedTypes="0" containsNonDate="0" containsDate="1" containsString="0" minDate="2010-02-25T00:00:00" maxDate="2017-06-18T00:00:00"/>
    </cacheField>
    <cacheField name="Units Sold" numFmtId="166">
      <sharedItems containsSemiMixedTypes="0" containsString="0" containsNumber="1" containsInteger="1" minValue="124" maxValue="9925"/>
    </cacheField>
    <cacheField name="Unit Price (£)" numFmtId="0">
      <sharedItems containsSemiMixedTypes="0" containsString="0" containsNumber="1" minValue="9.33" maxValue="668.27"/>
    </cacheField>
    <cacheField name="Unit Cost (£)" numFmtId="0">
      <sharedItems containsSemiMixedTypes="0" containsString="0" containsNumber="1" minValue="6.92" maxValue="524.96"/>
    </cacheField>
    <cacheField name="Total Revenue (£)" numFmtId="43">
      <sharedItems containsSemiMixedTypes="0" containsString="0" containsNumber="1" minValue="4870.26" maxValue="5997054.9800000004"/>
    </cacheField>
    <cacheField name="Total Cost (£)" numFmtId="43">
      <sharedItems containsSemiMixedTypes="0" containsString="0" containsNumber="1" minValue="3612.24" maxValue="4509793.96"/>
    </cacheField>
    <cacheField name="Total Profit (£)" numFmtId="43">
      <sharedItems containsSemiMixedTypes="0" containsString="0" containsNumber="1" minValue="1258.02" maxValue="1719922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s v="Offline"/>
    <s v="H"/>
    <d v="2010-05-28T00:00:00"/>
    <x v="0"/>
    <n v="669165933"/>
    <d v="2010-06-27T00:00:00"/>
    <n v="9925"/>
    <n v="255.28"/>
    <n v="159.41999999999999"/>
    <n v="2533654"/>
    <n v="1582243.5"/>
    <n v="951410.5"/>
  </r>
  <r>
    <x v="1"/>
    <x v="1"/>
    <x v="1"/>
    <s v="Online"/>
    <s v="C"/>
    <d v="2012-08-22T00:00:00"/>
    <x v="1"/>
    <n v="963881480"/>
    <d v="2012-09-15T00:00:00"/>
    <n v="2804"/>
    <n v="205.7"/>
    <n v="117.11"/>
    <n v="576782.80000000005"/>
    <n v="328376.44"/>
    <n v="248406.36"/>
  </r>
  <r>
    <x v="2"/>
    <x v="2"/>
    <x v="2"/>
    <s v="Offline"/>
    <s v="L"/>
    <d v="2014-05-02T00:00:00"/>
    <x v="2"/>
    <n v="341417157"/>
    <d v="2014-05-08T00:00:00"/>
    <n v="1779"/>
    <n v="651.21"/>
    <n v="524.96"/>
    <n v="1158502.5900000001"/>
    <n v="933903.84"/>
    <n v="224598.75"/>
  </r>
  <r>
    <x v="3"/>
    <x v="3"/>
    <x v="3"/>
    <s v="Online"/>
    <s v="C"/>
    <d v="2014-06-20T00:00:00"/>
    <x v="2"/>
    <n v="514321792"/>
    <d v="2014-07-05T00:00:00"/>
    <n v="8102"/>
    <n v="9.33"/>
    <n v="6.92"/>
    <n v="75591.66"/>
    <n v="56065.84"/>
    <n v="19525.82"/>
  </r>
  <r>
    <x v="3"/>
    <x v="4"/>
    <x v="2"/>
    <s v="Offline"/>
    <s v="L"/>
    <d v="2013-02-01T00:00:00"/>
    <x v="3"/>
    <n v="115456712"/>
    <d v="2013-02-06T00:00:00"/>
    <n v="5062"/>
    <n v="651.21"/>
    <n v="524.96"/>
    <n v="3296425.02"/>
    <n v="2657347.52"/>
    <n v="639077.5"/>
  </r>
  <r>
    <x v="0"/>
    <x v="5"/>
    <x v="0"/>
    <s v="Online"/>
    <s v="C"/>
    <d v="2015-02-04T00:00:00"/>
    <x v="4"/>
    <n v="547995746"/>
    <d v="2015-02-21T00:00:00"/>
    <n v="2974"/>
    <n v="255.28"/>
    <n v="159.41999999999999"/>
    <n v="759202.72"/>
    <n v="474115.08"/>
    <n v="285087.64"/>
  </r>
  <r>
    <x v="3"/>
    <x v="6"/>
    <x v="4"/>
    <s v="Offline"/>
    <s v="M"/>
    <d v="2011-04-23T00:00:00"/>
    <x v="5"/>
    <n v="135425221"/>
    <d v="2011-04-27T00:00:00"/>
    <n v="4187"/>
    <n v="668.27"/>
    <n v="502.54"/>
    <n v="2798046.49"/>
    <n v="2104134.98"/>
    <n v="693911.51"/>
  </r>
  <r>
    <x v="3"/>
    <x v="7"/>
    <x v="5"/>
    <s v="Online"/>
    <s v="H"/>
    <d v="2012-07-17T00:00:00"/>
    <x v="1"/>
    <n v="871543967"/>
    <d v="2012-07-27T00:00:00"/>
    <n v="8082"/>
    <n v="154.06"/>
    <n v="90.93"/>
    <n v="1245112.92"/>
    <n v="734896.26"/>
    <n v="510216.66"/>
  </r>
  <r>
    <x v="3"/>
    <x v="8"/>
    <x v="6"/>
    <s v="Offline"/>
    <s v="M"/>
    <d v="2015-07-14T00:00:00"/>
    <x v="4"/>
    <n v="770463311"/>
    <d v="2015-08-25T00:00:00"/>
    <n v="6070"/>
    <n v="81.73"/>
    <n v="56.67"/>
    <n v="496101.1"/>
    <n v="343986.9"/>
    <n v="152114.20000000001"/>
  </r>
  <r>
    <x v="3"/>
    <x v="9"/>
    <x v="1"/>
    <s v="Online"/>
    <s v="H"/>
    <d v="2014-04-18T00:00:00"/>
    <x v="2"/>
    <n v="616607081"/>
    <d v="2014-05-30T00:00:00"/>
    <n v="6593"/>
    <n v="205.7"/>
    <n v="117.11"/>
    <n v="1356180.1"/>
    <n v="772106.23"/>
    <n v="584073.87"/>
  </r>
  <r>
    <x v="4"/>
    <x v="10"/>
    <x v="5"/>
    <s v="Online"/>
    <s v="H"/>
    <d v="2011-06-24T00:00:00"/>
    <x v="5"/>
    <n v="814711606"/>
    <d v="2011-07-12T00:00:00"/>
    <n v="124"/>
    <n v="154.06"/>
    <n v="90.93"/>
    <n v="19103.439999999999"/>
    <n v="11275.32"/>
    <n v="7828.12"/>
  </r>
  <r>
    <x v="3"/>
    <x v="11"/>
    <x v="7"/>
    <s v="Offline"/>
    <s v="H"/>
    <d v="2014-08-02T00:00:00"/>
    <x v="2"/>
    <n v="939825713"/>
    <d v="2014-08-19T00:00:00"/>
    <n v="4168"/>
    <n v="109.28"/>
    <n v="35.840000000000003"/>
    <n v="455479.03999999998"/>
    <n v="149381.12"/>
    <n v="306097.91999999998"/>
  </r>
  <r>
    <x v="4"/>
    <x v="12"/>
    <x v="7"/>
    <s v="Online"/>
    <s v="L"/>
    <d v="2017-01-13T00:00:00"/>
    <x v="6"/>
    <n v="187310731"/>
    <d v="2017-03-01T00:00:00"/>
    <n v="8263"/>
    <n v="109.28"/>
    <n v="35.840000000000003"/>
    <n v="902980.64"/>
    <n v="296145.91999999998"/>
    <n v="606834.72"/>
  </r>
  <r>
    <x v="1"/>
    <x v="13"/>
    <x v="4"/>
    <s v="Offline"/>
    <s v="H"/>
    <d v="2017-02-08T00:00:00"/>
    <x v="6"/>
    <n v="522840487"/>
    <d v="2017-02-13T00:00:00"/>
    <n v="8974"/>
    <n v="668.27"/>
    <n v="502.54"/>
    <n v="5997054.9800000004"/>
    <n v="4509793.96"/>
    <n v="1487261.02"/>
  </r>
  <r>
    <x v="4"/>
    <x v="14"/>
    <x v="6"/>
    <s v="Offline"/>
    <s v="C"/>
    <d v="2014-02-19T00:00:00"/>
    <x v="2"/>
    <n v="832401311"/>
    <d v="2014-02-23T00:00:00"/>
    <n v="4901"/>
    <n v="81.73"/>
    <n v="56.67"/>
    <n v="400558.73"/>
    <n v="277739.67"/>
    <n v="122819.06"/>
  </r>
  <r>
    <x v="2"/>
    <x v="15"/>
    <x v="7"/>
    <s v="Online"/>
    <s v="M"/>
    <d v="2012-04-23T00:00:00"/>
    <x v="1"/>
    <n v="972292029"/>
    <d v="2012-06-03T00:00:00"/>
    <n v="1673"/>
    <n v="109.28"/>
    <n v="35.840000000000003"/>
    <n v="182825.44"/>
    <n v="59960.32"/>
    <n v="122865.12"/>
  </r>
  <r>
    <x v="4"/>
    <x v="16"/>
    <x v="8"/>
    <s v="Offline"/>
    <s v="M"/>
    <d v="2016-11-19T00:00:00"/>
    <x v="7"/>
    <n v="419123971"/>
    <d v="2016-12-18T00:00:00"/>
    <n v="6952"/>
    <n v="437.2"/>
    <n v="263.33"/>
    <n v="3039414.4"/>
    <n v="1830670.16"/>
    <n v="1208744.24"/>
  </r>
  <r>
    <x v="3"/>
    <x v="17"/>
    <x v="9"/>
    <s v="Offline"/>
    <s v="C"/>
    <d v="2015-04-01T00:00:00"/>
    <x v="4"/>
    <n v="519820964"/>
    <d v="2015-04-18T00:00:00"/>
    <n v="5430"/>
    <n v="47.45"/>
    <n v="31.79"/>
    <n v="257653.5"/>
    <n v="172619.7"/>
    <n v="85033.8"/>
  </r>
  <r>
    <x v="4"/>
    <x v="18"/>
    <x v="4"/>
    <s v="Offline"/>
    <s v="L"/>
    <d v="2010-12-30T00:00:00"/>
    <x v="0"/>
    <n v="441619336"/>
    <d v="2011-01-20T00:00:00"/>
    <n v="3830"/>
    <n v="668.27"/>
    <n v="502.54"/>
    <n v="2559474.1"/>
    <n v="1924728.2"/>
    <n v="634745.9"/>
  </r>
  <r>
    <x v="0"/>
    <x v="19"/>
    <x v="10"/>
    <s v="Online"/>
    <s v="L"/>
    <d v="2012-07-31T00:00:00"/>
    <x v="1"/>
    <n v="322067916"/>
    <d v="2012-09-11T00:00:00"/>
    <n v="5908"/>
    <n v="421.89"/>
    <n v="364.69"/>
    <n v="2492526.12"/>
    <n v="2154588.52"/>
    <n v="337937.6"/>
  </r>
  <r>
    <x v="2"/>
    <x v="20"/>
    <x v="0"/>
    <s v="Online"/>
    <s v="L"/>
    <d v="2014-05-14T00:00:00"/>
    <x v="2"/>
    <n v="819028031"/>
    <d v="2014-06-28T00:00:00"/>
    <n v="7450"/>
    <n v="255.28"/>
    <n v="159.41999999999999"/>
    <n v="1901836"/>
    <n v="1187679"/>
    <n v="714157"/>
  </r>
  <r>
    <x v="2"/>
    <x v="21"/>
    <x v="0"/>
    <s v="Online"/>
    <s v="H"/>
    <d v="2015-07-31T00:00:00"/>
    <x v="4"/>
    <n v="860673511"/>
    <d v="2015-09-03T00:00:00"/>
    <n v="1273"/>
    <n v="255.28"/>
    <n v="159.41999999999999"/>
    <n v="324971.44"/>
    <n v="202941.66"/>
    <n v="122029.78"/>
  </r>
  <r>
    <x v="1"/>
    <x v="13"/>
    <x v="11"/>
    <s v="Online"/>
    <s v="L"/>
    <d v="2016-06-30T00:00:00"/>
    <x v="7"/>
    <n v="795490682"/>
    <d v="2016-07-26T00:00:00"/>
    <n v="2225"/>
    <n v="152.58000000000001"/>
    <n v="97.44"/>
    <n v="339490.5"/>
    <n v="216804"/>
    <n v="122686.5"/>
  </r>
  <r>
    <x v="0"/>
    <x v="22"/>
    <x v="3"/>
    <s v="Online"/>
    <s v="H"/>
    <d v="2014-09-08T00:00:00"/>
    <x v="2"/>
    <n v="142278373"/>
    <d v="2014-10-04T00:00:00"/>
    <n v="2187"/>
    <n v="9.33"/>
    <n v="6.92"/>
    <n v="20404.71"/>
    <n v="15134.04"/>
    <n v="5270.67"/>
  </r>
  <r>
    <x v="2"/>
    <x v="23"/>
    <x v="6"/>
    <s v="Online"/>
    <s v="L"/>
    <d v="2016-05-07T00:00:00"/>
    <x v="7"/>
    <n v="740147912"/>
    <d v="2016-05-10T00:00:00"/>
    <n v="5070"/>
    <n v="81.73"/>
    <n v="56.67"/>
    <n v="414371.1"/>
    <n v="287316.90000000002"/>
    <n v="127054.2"/>
  </r>
  <r>
    <x v="2"/>
    <x v="24"/>
    <x v="8"/>
    <s v="Online"/>
    <s v="H"/>
    <d v="2017-05-22T00:00:00"/>
    <x v="6"/>
    <n v="898523128"/>
    <d v="2017-06-05T00:00:00"/>
    <n v="1815"/>
    <n v="437.2"/>
    <n v="263.33"/>
    <n v="793518"/>
    <n v="477943.95"/>
    <n v="315574.05"/>
  </r>
  <r>
    <x v="0"/>
    <x v="25"/>
    <x v="3"/>
    <s v="Online"/>
    <s v="M"/>
    <d v="2014-10-13T00:00:00"/>
    <x v="2"/>
    <n v="347140347"/>
    <d v="2014-11-10T00:00:00"/>
    <n v="5398"/>
    <n v="9.33"/>
    <n v="6.92"/>
    <n v="50363.34"/>
    <n v="37354.160000000003"/>
    <n v="13009.18"/>
  </r>
  <r>
    <x v="3"/>
    <x v="26"/>
    <x v="3"/>
    <s v="Online"/>
    <s v="L"/>
    <d v="2010-05-07T00:00:00"/>
    <x v="0"/>
    <n v="686048400"/>
    <d v="2010-05-10T00:00:00"/>
    <n v="5822"/>
    <n v="9.33"/>
    <n v="6.92"/>
    <n v="54319.26"/>
    <n v="40288.239999999998"/>
    <n v="14031.02"/>
  </r>
  <r>
    <x v="2"/>
    <x v="20"/>
    <x v="9"/>
    <s v="Offline"/>
    <s v="C"/>
    <d v="2014-07-18T00:00:00"/>
    <x v="2"/>
    <n v="435608613"/>
    <d v="2014-07-30T00:00:00"/>
    <n v="5124"/>
    <n v="47.45"/>
    <n v="31.79"/>
    <n v="243133.8"/>
    <n v="162891.96"/>
    <n v="80241.84"/>
  </r>
  <r>
    <x v="3"/>
    <x v="27"/>
    <x v="4"/>
    <s v="Offline"/>
    <s v="L"/>
    <d v="2012-05-26T00:00:00"/>
    <x v="1"/>
    <n v="886494815"/>
    <d v="2012-06-09T00:00:00"/>
    <n v="2370"/>
    <n v="668.27"/>
    <n v="502.54"/>
    <n v="1583799.9"/>
    <n v="1191019.8"/>
    <n v="392780.1"/>
  </r>
  <r>
    <x v="2"/>
    <x v="28"/>
    <x v="8"/>
    <s v="Offline"/>
    <s v="M"/>
    <d v="2012-09-17T00:00:00"/>
    <x v="1"/>
    <n v="249693334"/>
    <d v="2012-10-20T00:00:00"/>
    <n v="8661"/>
    <n v="437.2"/>
    <n v="263.33"/>
    <n v="3786589.2"/>
    <n v="2280701.13"/>
    <n v="1505888.07"/>
  </r>
  <r>
    <x v="3"/>
    <x v="29"/>
    <x v="6"/>
    <s v="Offline"/>
    <s v="C"/>
    <d v="2013-12-29T00:00:00"/>
    <x v="3"/>
    <n v="406502997"/>
    <d v="2014-01-28T00:00:00"/>
    <n v="2125"/>
    <n v="81.73"/>
    <n v="56.67"/>
    <n v="173676.25"/>
    <n v="120423.75"/>
    <n v="53252.5"/>
  </r>
  <r>
    <x v="0"/>
    <x v="30"/>
    <x v="2"/>
    <s v="Online"/>
    <s v="C"/>
    <d v="2015-10-27T00:00:00"/>
    <x v="4"/>
    <n v="158535134"/>
    <d v="2015-11-25T00:00:00"/>
    <n v="2924"/>
    <n v="651.21"/>
    <n v="524.96"/>
    <n v="1904138.04"/>
    <n v="1534983.04"/>
    <n v="369155"/>
  </r>
  <r>
    <x v="4"/>
    <x v="31"/>
    <x v="4"/>
    <s v="Offline"/>
    <s v="H"/>
    <d v="2015-01-16T00:00:00"/>
    <x v="4"/>
    <n v="177713572"/>
    <d v="2015-03-01T00:00:00"/>
    <n v="8250"/>
    <n v="668.27"/>
    <n v="502.54"/>
    <n v="5513227.5"/>
    <n v="4145955"/>
    <n v="1367272.5"/>
  </r>
  <r>
    <x v="3"/>
    <x v="32"/>
    <x v="11"/>
    <s v="Online"/>
    <s v="M"/>
    <d v="2017-02-25T00:00:00"/>
    <x v="6"/>
    <n v="756274640"/>
    <d v="2017-02-25T00:00:00"/>
    <n v="7327"/>
    <n v="152.58000000000001"/>
    <n v="97.44"/>
    <n v="1117953.6599999999"/>
    <n v="713942.88"/>
    <n v="404010.78"/>
  </r>
  <r>
    <x v="1"/>
    <x v="33"/>
    <x v="6"/>
    <s v="Offline"/>
    <s v="L"/>
    <d v="2017-05-08T00:00:00"/>
    <x v="6"/>
    <n v="456767165"/>
    <d v="2017-05-21T00:00:00"/>
    <n v="6409"/>
    <n v="81.73"/>
    <n v="56.67"/>
    <n v="523807.57"/>
    <n v="363198.03"/>
    <n v="160609.54"/>
  </r>
  <r>
    <x v="5"/>
    <x v="34"/>
    <x v="3"/>
    <s v="Online"/>
    <s v="L"/>
    <d v="2011-11-22T00:00:00"/>
    <x v="5"/>
    <n v="162052476"/>
    <d v="2011-12-03T00:00:00"/>
    <n v="3784"/>
    <n v="9.33"/>
    <n v="6.92"/>
    <n v="35304.720000000001"/>
    <n v="26185.279999999999"/>
    <n v="9119.44"/>
  </r>
  <r>
    <x v="3"/>
    <x v="27"/>
    <x v="10"/>
    <s v="Online"/>
    <s v="M"/>
    <d v="2017-01-14T00:00:00"/>
    <x v="6"/>
    <n v="825304400"/>
    <d v="2017-01-23T00:00:00"/>
    <n v="4767"/>
    <n v="421.89"/>
    <n v="364.69"/>
    <n v="2011149.63"/>
    <n v="1738477.23"/>
    <n v="272672.40000000002"/>
  </r>
  <r>
    <x v="4"/>
    <x v="35"/>
    <x v="2"/>
    <s v="Online"/>
    <s v="L"/>
    <d v="2012-04-01T00:00:00"/>
    <x v="1"/>
    <n v="320009267"/>
    <d v="2012-05-08T00:00:00"/>
    <n v="6708"/>
    <n v="651.21"/>
    <n v="524.96"/>
    <n v="4368316.68"/>
    <n v="3521431.68"/>
    <n v="846885"/>
  </r>
  <r>
    <x v="2"/>
    <x v="15"/>
    <x v="2"/>
    <s v="Online"/>
    <s v="M"/>
    <d v="2012-02-16T00:00:00"/>
    <x v="1"/>
    <n v="189965903"/>
    <d v="2012-02-28T00:00:00"/>
    <n v="3987"/>
    <n v="651.21"/>
    <n v="524.96"/>
    <n v="2596374.27"/>
    <n v="2093015.52"/>
    <n v="503358.75"/>
  </r>
  <r>
    <x v="3"/>
    <x v="36"/>
    <x v="6"/>
    <s v="Online"/>
    <s v="H"/>
    <d v="2017-03-11T00:00:00"/>
    <x v="6"/>
    <n v="699285638"/>
    <d v="2017-03-28T00:00:00"/>
    <n v="3015"/>
    <n v="81.73"/>
    <n v="56.67"/>
    <n v="246415.95"/>
    <n v="170860.05"/>
    <n v="75555.899999999994"/>
  </r>
  <r>
    <x v="5"/>
    <x v="37"/>
    <x v="8"/>
    <s v="Online"/>
    <s v="M"/>
    <d v="2010-02-06T00:00:00"/>
    <x v="0"/>
    <n v="382392299"/>
    <d v="2010-02-25T00:00:00"/>
    <n v="7234"/>
    <n v="437.2"/>
    <n v="263.33"/>
    <n v="3162704.8"/>
    <n v="1904929.22"/>
    <n v="1257775.58"/>
  </r>
  <r>
    <x v="3"/>
    <x v="27"/>
    <x v="1"/>
    <s v="Offline"/>
    <s v="H"/>
    <d v="2012-06-07T00:00:00"/>
    <x v="1"/>
    <n v="994022214"/>
    <d v="2012-06-08T00:00:00"/>
    <n v="2117"/>
    <n v="205.7"/>
    <n v="117.11"/>
    <n v="435466.9"/>
    <n v="247921.87"/>
    <n v="187545.03"/>
  </r>
  <r>
    <x v="2"/>
    <x v="38"/>
    <x v="5"/>
    <s v="Online"/>
    <s v="H"/>
    <d v="2012-10-06T00:00:00"/>
    <x v="1"/>
    <n v="759224212"/>
    <d v="2012-11-10T00:00:00"/>
    <n v="171"/>
    <n v="154.06"/>
    <n v="90.93"/>
    <n v="26344.26"/>
    <n v="15549.03"/>
    <n v="10795.23"/>
  </r>
  <r>
    <x v="4"/>
    <x v="31"/>
    <x v="7"/>
    <s v="Online"/>
    <s v="H"/>
    <d v="2015-11-14T00:00:00"/>
    <x v="4"/>
    <n v="223359620"/>
    <d v="2015-11-18T00:00:00"/>
    <n v="5930"/>
    <n v="109.28"/>
    <n v="35.840000000000003"/>
    <n v="648030.4"/>
    <n v="212531.20000000001"/>
    <n v="435499.2"/>
  </r>
  <r>
    <x v="3"/>
    <x v="39"/>
    <x v="1"/>
    <s v="Offline"/>
    <s v="H"/>
    <d v="2016-03-29T00:00:00"/>
    <x v="7"/>
    <n v="902102267"/>
    <d v="2016-04-29T00:00:00"/>
    <n v="962"/>
    <n v="205.7"/>
    <n v="117.11"/>
    <n v="197883.4"/>
    <n v="112659.82"/>
    <n v="85223.58"/>
  </r>
  <r>
    <x v="2"/>
    <x v="40"/>
    <x v="8"/>
    <s v="Online"/>
    <s v="C"/>
    <d v="2016-12-31T00:00:00"/>
    <x v="7"/>
    <n v="331438481"/>
    <d v="2016-12-31T00:00:00"/>
    <n v="8867"/>
    <n v="437.2"/>
    <n v="263.33"/>
    <n v="3876652.4"/>
    <n v="2334947.11"/>
    <n v="1541705.29"/>
  </r>
  <r>
    <x v="2"/>
    <x v="28"/>
    <x v="6"/>
    <s v="Online"/>
    <s v="M"/>
    <d v="2010-12-23T00:00:00"/>
    <x v="0"/>
    <n v="617667090"/>
    <d v="2011-01-31T00:00:00"/>
    <n v="273"/>
    <n v="81.73"/>
    <n v="56.67"/>
    <n v="22312.29"/>
    <n v="15470.91"/>
    <n v="6841.38"/>
  </r>
  <r>
    <x v="2"/>
    <x v="41"/>
    <x v="7"/>
    <s v="Offline"/>
    <s v="C"/>
    <d v="2014-10-14T00:00:00"/>
    <x v="2"/>
    <n v="787399423"/>
    <d v="2014-11-14T00:00:00"/>
    <n v="7842"/>
    <n v="109.28"/>
    <n v="35.840000000000003"/>
    <n v="856973.76"/>
    <n v="281057.28000000003"/>
    <n v="575916.48"/>
  </r>
  <r>
    <x v="3"/>
    <x v="42"/>
    <x v="2"/>
    <s v="Offline"/>
    <s v="C"/>
    <d v="2012-01-11T00:00:00"/>
    <x v="1"/>
    <n v="837559306"/>
    <d v="2012-01-13T00:00:00"/>
    <n v="1266"/>
    <n v="651.21"/>
    <n v="524.96"/>
    <n v="824431.86"/>
    <n v="664599.36"/>
    <n v="159832.5"/>
  </r>
  <r>
    <x v="2"/>
    <x v="43"/>
    <x v="7"/>
    <s v="Online"/>
    <s v="C"/>
    <d v="2010-02-02T00:00:00"/>
    <x v="0"/>
    <n v="385383069"/>
    <d v="2010-03-18T00:00:00"/>
    <n v="2269"/>
    <n v="109.28"/>
    <n v="35.840000000000003"/>
    <n v="247956.32"/>
    <n v="81320.960000000006"/>
    <n v="166635.35999999999"/>
  </r>
  <r>
    <x v="3"/>
    <x v="44"/>
    <x v="3"/>
    <s v="Online"/>
    <s v="L"/>
    <d v="2013-08-18T00:00:00"/>
    <x v="3"/>
    <n v="918419539"/>
    <d v="2013-09-18T00:00:00"/>
    <n v="9606"/>
    <n v="9.33"/>
    <n v="6.92"/>
    <n v="89623.98"/>
    <n v="66473.52"/>
    <n v="23150.46"/>
  </r>
  <r>
    <x v="5"/>
    <x v="45"/>
    <x v="1"/>
    <s v="Online"/>
    <s v="M"/>
    <d v="2013-03-25T00:00:00"/>
    <x v="3"/>
    <n v="844530045"/>
    <d v="2013-03-28T00:00:00"/>
    <n v="4063"/>
    <n v="205.7"/>
    <n v="117.11"/>
    <n v="835759.1"/>
    <n v="475817.93"/>
    <n v="359941.17"/>
  </r>
  <r>
    <x v="3"/>
    <x v="46"/>
    <x v="2"/>
    <s v="Offline"/>
    <s v="M"/>
    <d v="2011-11-26T00:00:00"/>
    <x v="5"/>
    <n v="441888415"/>
    <d v="2012-01-07T00:00:00"/>
    <n v="3457"/>
    <n v="651.21"/>
    <n v="524.96"/>
    <n v="2251232.9700000002"/>
    <n v="1814786.72"/>
    <n v="436446.25"/>
  </r>
  <r>
    <x v="3"/>
    <x v="3"/>
    <x v="3"/>
    <s v="Offline"/>
    <s v="H"/>
    <d v="2013-09-17T00:00:00"/>
    <x v="3"/>
    <n v="508980977"/>
    <d v="2013-10-24T00:00:00"/>
    <n v="7637"/>
    <n v="9.33"/>
    <n v="6.92"/>
    <n v="71253.210000000006"/>
    <n v="52848.04"/>
    <n v="18405.169999999998"/>
  </r>
  <r>
    <x v="3"/>
    <x v="47"/>
    <x v="7"/>
    <s v="Online"/>
    <s v="C"/>
    <d v="2012-06-08T00:00:00"/>
    <x v="1"/>
    <n v="114606559"/>
    <d v="2012-06-27T00:00:00"/>
    <n v="3482"/>
    <n v="109.28"/>
    <n v="35.840000000000003"/>
    <n v="380512.96"/>
    <n v="124794.88"/>
    <n v="255718.08"/>
  </r>
  <r>
    <x v="0"/>
    <x v="48"/>
    <x v="7"/>
    <s v="Offline"/>
    <s v="C"/>
    <d v="2010-06-30T00:00:00"/>
    <x v="0"/>
    <n v="647876489"/>
    <d v="2010-08-01T00:00:00"/>
    <n v="9905"/>
    <n v="109.28"/>
    <n v="35.840000000000003"/>
    <n v="1082418.3999999999"/>
    <n v="354995.20000000001"/>
    <n v="727423.2"/>
  </r>
  <r>
    <x v="2"/>
    <x v="49"/>
    <x v="8"/>
    <s v="Offline"/>
    <s v="H"/>
    <d v="2015-02-23T00:00:00"/>
    <x v="4"/>
    <n v="868214595"/>
    <d v="2015-03-02T00:00:00"/>
    <n v="2847"/>
    <n v="437.2"/>
    <n v="263.33"/>
    <n v="1244708.3999999999"/>
    <n v="749700.51"/>
    <n v="495007.89"/>
  </r>
  <r>
    <x v="2"/>
    <x v="50"/>
    <x v="4"/>
    <s v="Online"/>
    <s v="L"/>
    <d v="2012-01-05T00:00:00"/>
    <x v="1"/>
    <n v="955357205"/>
    <d v="2012-02-14T00:00:00"/>
    <n v="282"/>
    <n v="668.27"/>
    <n v="502.54"/>
    <n v="188452.14"/>
    <n v="141716.28"/>
    <n v="46735.86"/>
  </r>
  <r>
    <x v="3"/>
    <x v="32"/>
    <x v="8"/>
    <s v="Offline"/>
    <s v="H"/>
    <d v="2014-04-07T00:00:00"/>
    <x v="2"/>
    <n v="259353148"/>
    <d v="2014-04-19T00:00:00"/>
    <n v="7215"/>
    <n v="437.2"/>
    <n v="263.33"/>
    <n v="3154398"/>
    <n v="1899925.95"/>
    <n v="1254472.05"/>
  </r>
  <r>
    <x v="0"/>
    <x v="30"/>
    <x v="1"/>
    <s v="Offline"/>
    <s v="H"/>
    <d v="2013-06-09T00:00:00"/>
    <x v="3"/>
    <n v="450563752"/>
    <d v="2013-07-02T00:00:00"/>
    <n v="682"/>
    <n v="205.7"/>
    <n v="117.11"/>
    <n v="140287.4"/>
    <n v="79869.02"/>
    <n v="60418.38"/>
  </r>
  <r>
    <x v="2"/>
    <x v="51"/>
    <x v="0"/>
    <s v="Online"/>
    <s v="L"/>
    <d v="2013-06-26T00:00:00"/>
    <x v="3"/>
    <n v="569662845"/>
    <d v="2013-07-01T00:00:00"/>
    <n v="4750"/>
    <n v="255.28"/>
    <n v="159.41999999999999"/>
    <n v="1212580"/>
    <n v="757245"/>
    <n v="455335"/>
  </r>
  <r>
    <x v="3"/>
    <x v="17"/>
    <x v="2"/>
    <s v="Online"/>
    <s v="M"/>
    <d v="2011-11-07T00:00:00"/>
    <x v="5"/>
    <n v="177636754"/>
    <d v="2011-11-15T00:00:00"/>
    <n v="5518"/>
    <n v="651.21"/>
    <n v="524.96"/>
    <n v="3593376.78"/>
    <n v="2896729.28"/>
    <n v="696647.5"/>
  </r>
  <r>
    <x v="5"/>
    <x v="52"/>
    <x v="7"/>
    <s v="Offline"/>
    <s v="H"/>
    <d v="2010-10-30T00:00:00"/>
    <x v="0"/>
    <n v="705784308"/>
    <d v="2010-11-17T00:00:00"/>
    <n v="6116"/>
    <n v="109.28"/>
    <n v="35.840000000000003"/>
    <n v="668356.48"/>
    <n v="219197.44"/>
    <n v="449159.04"/>
  </r>
  <r>
    <x v="1"/>
    <x v="53"/>
    <x v="8"/>
    <s v="Offline"/>
    <s v="H"/>
    <d v="2013-10-13T00:00:00"/>
    <x v="3"/>
    <n v="505716836"/>
    <d v="2013-11-16T00:00:00"/>
    <n v="1705"/>
    <n v="437.2"/>
    <n v="263.33"/>
    <n v="745426"/>
    <n v="448977.65"/>
    <n v="296448.34999999998"/>
  </r>
  <r>
    <x v="3"/>
    <x v="4"/>
    <x v="8"/>
    <s v="Offline"/>
    <s v="H"/>
    <d v="2013-10-11T00:00:00"/>
    <x v="3"/>
    <n v="699358165"/>
    <d v="2013-11-25T00:00:00"/>
    <n v="4477"/>
    <n v="437.2"/>
    <n v="263.33"/>
    <n v="1957344.4"/>
    <n v="1178928.4099999999"/>
    <n v="778415.99"/>
  </r>
  <r>
    <x v="3"/>
    <x v="54"/>
    <x v="6"/>
    <s v="Offline"/>
    <s v="L"/>
    <d v="2012-07-08T00:00:00"/>
    <x v="1"/>
    <n v="228944623"/>
    <d v="2012-07-09T00:00:00"/>
    <n v="8656"/>
    <n v="81.73"/>
    <n v="56.67"/>
    <n v="707454.88"/>
    <n v="490535.52"/>
    <n v="216919.36"/>
  </r>
  <r>
    <x v="1"/>
    <x v="55"/>
    <x v="7"/>
    <s v="Offline"/>
    <s v="M"/>
    <d v="2016-07-25T00:00:00"/>
    <x v="7"/>
    <n v="807025039"/>
    <d v="2016-09-07T00:00:00"/>
    <n v="5498"/>
    <n v="109.28"/>
    <n v="35.840000000000003"/>
    <n v="600821.43999999994"/>
    <n v="197048.32000000001"/>
    <n v="403773.12"/>
  </r>
  <r>
    <x v="2"/>
    <x v="56"/>
    <x v="2"/>
    <s v="Offline"/>
    <s v="H"/>
    <d v="2010-10-24T00:00:00"/>
    <x v="0"/>
    <n v="166460740"/>
    <d v="2010-11-17T00:00:00"/>
    <n v="8287"/>
    <n v="651.21"/>
    <n v="524.96"/>
    <n v="5396577.2699999996"/>
    <n v="4350343.5199999996"/>
    <n v="1046233.75"/>
  </r>
  <r>
    <x v="3"/>
    <x v="57"/>
    <x v="7"/>
    <s v="Offline"/>
    <s v="L"/>
    <d v="2015-04-25T00:00:00"/>
    <x v="4"/>
    <n v="610425555"/>
    <d v="2015-05-28T00:00:00"/>
    <n v="7342"/>
    <n v="109.28"/>
    <n v="35.840000000000003"/>
    <n v="802333.76"/>
    <n v="263137.28000000003"/>
    <n v="539196.48"/>
  </r>
  <r>
    <x v="4"/>
    <x v="18"/>
    <x v="2"/>
    <s v="Online"/>
    <s v="M"/>
    <d v="2013-04-23T00:00:00"/>
    <x v="3"/>
    <n v="462405812"/>
    <d v="2013-05-20T00:00:00"/>
    <n v="5010"/>
    <n v="651.21"/>
    <n v="524.96"/>
    <n v="3262562.1"/>
    <n v="2630049.6"/>
    <n v="632512.5"/>
  </r>
  <r>
    <x v="5"/>
    <x v="52"/>
    <x v="3"/>
    <s v="Online"/>
    <s v="L"/>
    <d v="2015-08-14T00:00:00"/>
    <x v="4"/>
    <n v="816200339"/>
    <d v="2015-09-30T00:00:00"/>
    <n v="673"/>
    <n v="9.33"/>
    <n v="6.92"/>
    <n v="6279.09"/>
    <n v="4657.16"/>
    <n v="1621.93"/>
  </r>
  <r>
    <x v="3"/>
    <x v="58"/>
    <x v="9"/>
    <s v="Online"/>
    <s v="C"/>
    <d v="2011-05-26T00:00:00"/>
    <x v="5"/>
    <n v="585920464"/>
    <d v="2011-07-15T00:00:00"/>
    <n v="5741"/>
    <n v="47.45"/>
    <n v="31.79"/>
    <n v="272410.45"/>
    <n v="182506.39"/>
    <n v="89904.06"/>
  </r>
  <r>
    <x v="3"/>
    <x v="32"/>
    <x v="1"/>
    <s v="Online"/>
    <s v="H"/>
    <d v="2017-05-20T00:00:00"/>
    <x v="6"/>
    <n v="555990016"/>
    <d v="2017-06-17T00:00:00"/>
    <n v="8656"/>
    <n v="205.7"/>
    <n v="117.11"/>
    <n v="1780539.2"/>
    <n v="1013704.16"/>
    <n v="766835.04"/>
  </r>
  <r>
    <x v="5"/>
    <x v="59"/>
    <x v="8"/>
    <s v="Offline"/>
    <s v="L"/>
    <d v="2013-07-05T00:00:00"/>
    <x v="3"/>
    <n v="231145322"/>
    <d v="2013-08-16T00:00:00"/>
    <n v="9892"/>
    <n v="437.2"/>
    <n v="263.33"/>
    <n v="4324782.4000000004"/>
    <n v="2604860.36"/>
    <n v="1719922.04"/>
  </r>
  <r>
    <x v="6"/>
    <x v="60"/>
    <x v="4"/>
    <s v="Offline"/>
    <s v="C"/>
    <d v="2014-11-06T00:00:00"/>
    <x v="2"/>
    <n v="986435210"/>
    <d v="2014-12-12T00:00:00"/>
    <n v="6954"/>
    <n v="668.27"/>
    <n v="502.54"/>
    <n v="4647149.58"/>
    <n v="3494663.16"/>
    <n v="1152486.42"/>
  </r>
  <r>
    <x v="0"/>
    <x v="61"/>
    <x v="9"/>
    <s v="Online"/>
    <s v="C"/>
    <d v="2014-10-28T00:00:00"/>
    <x v="2"/>
    <n v="217221009"/>
    <d v="2014-11-15T00:00:00"/>
    <n v="9379"/>
    <n v="47.45"/>
    <n v="31.79"/>
    <n v="445033.55"/>
    <n v="298158.40999999997"/>
    <n v="146875.14000000001"/>
  </r>
  <r>
    <x v="4"/>
    <x v="62"/>
    <x v="5"/>
    <s v="Offline"/>
    <s v="C"/>
    <d v="2011-09-15T00:00:00"/>
    <x v="5"/>
    <n v="789176547"/>
    <d v="2011-10-23T00:00:00"/>
    <n v="3732"/>
    <n v="154.06"/>
    <n v="90.93"/>
    <n v="574951.92000000004"/>
    <n v="339350.76"/>
    <n v="235601.16"/>
  </r>
  <r>
    <x v="2"/>
    <x v="63"/>
    <x v="0"/>
    <s v="Offline"/>
    <s v="H"/>
    <d v="2012-05-29T00:00:00"/>
    <x v="1"/>
    <n v="688288152"/>
    <d v="2012-06-02T00:00:00"/>
    <n v="8614"/>
    <n v="255.28"/>
    <n v="159.41999999999999"/>
    <n v="2198981.92"/>
    <n v="1373243.88"/>
    <n v="825738.04"/>
  </r>
  <r>
    <x v="0"/>
    <x v="64"/>
    <x v="8"/>
    <s v="Online"/>
    <s v="H"/>
    <d v="2013-07-20T00:00:00"/>
    <x v="3"/>
    <n v="670854651"/>
    <d v="2013-08-07T00:00:00"/>
    <n v="9654"/>
    <n v="437.2"/>
    <n v="263.33"/>
    <n v="4220728.8"/>
    <n v="2542187.8199999998"/>
    <n v="1678540.98"/>
  </r>
  <r>
    <x v="2"/>
    <x v="65"/>
    <x v="4"/>
    <s v="Offline"/>
    <s v="L"/>
    <d v="2012-10-21T00:00:00"/>
    <x v="1"/>
    <n v="213487374"/>
    <d v="2012-11-30T00:00:00"/>
    <n v="4513"/>
    <n v="668.27"/>
    <n v="502.54"/>
    <n v="3015902.51"/>
    <n v="2267963.02"/>
    <n v="747939.49"/>
  </r>
  <r>
    <x v="5"/>
    <x v="66"/>
    <x v="7"/>
    <s v="Online"/>
    <s v="L"/>
    <d v="2012-09-18T00:00:00"/>
    <x v="1"/>
    <n v="663110148"/>
    <d v="2012-10-08T00:00:00"/>
    <n v="7884"/>
    <n v="109.28"/>
    <n v="35.840000000000003"/>
    <n v="861563.52"/>
    <n v="282562.56"/>
    <n v="579000.96"/>
  </r>
  <r>
    <x v="5"/>
    <x v="67"/>
    <x v="8"/>
    <s v="Online"/>
    <s v="H"/>
    <d v="2016-11-15T00:00:00"/>
    <x v="7"/>
    <n v="286959302"/>
    <d v="2016-12-08T00:00:00"/>
    <n v="6489"/>
    <n v="437.2"/>
    <n v="263.33"/>
    <n v="2836990.8"/>
    <n v="1708748.37"/>
    <n v="1128242.43"/>
  </r>
  <r>
    <x v="3"/>
    <x v="68"/>
    <x v="11"/>
    <s v="Online"/>
    <s v="L"/>
    <d v="2011-01-04T00:00:00"/>
    <x v="5"/>
    <n v="122583663"/>
    <d v="2011-01-05T00:00:00"/>
    <n v="4085"/>
    <n v="152.58000000000001"/>
    <n v="97.44"/>
    <n v="623289.30000000005"/>
    <n v="398042.4"/>
    <n v="225246.9"/>
  </r>
  <r>
    <x v="3"/>
    <x v="69"/>
    <x v="5"/>
    <s v="Online"/>
    <s v="L"/>
    <d v="2012-03-18T00:00:00"/>
    <x v="1"/>
    <n v="827844560"/>
    <d v="2012-04-07T00:00:00"/>
    <n v="6457"/>
    <n v="154.06"/>
    <n v="90.93"/>
    <n v="994765.42"/>
    <n v="587135.01"/>
    <n v="407630.41"/>
  </r>
  <r>
    <x v="6"/>
    <x v="60"/>
    <x v="6"/>
    <s v="Offline"/>
    <s v="L"/>
    <d v="2012-02-17T00:00:00"/>
    <x v="1"/>
    <n v="430915820"/>
    <d v="2012-03-20T00:00:00"/>
    <n v="6422"/>
    <n v="81.73"/>
    <n v="56.67"/>
    <n v="524870.06000000006"/>
    <n v="363934.74"/>
    <n v="160935.32"/>
  </r>
  <r>
    <x v="3"/>
    <x v="3"/>
    <x v="9"/>
    <s v="Offline"/>
    <s v="C"/>
    <d v="2011-01-16T00:00:00"/>
    <x v="5"/>
    <n v="180283772"/>
    <d v="2011-01-21T00:00:00"/>
    <n v="8829"/>
    <n v="47.45"/>
    <n v="31.79"/>
    <n v="418936.05"/>
    <n v="280673.90999999997"/>
    <n v="138262.14000000001"/>
  </r>
  <r>
    <x v="3"/>
    <x v="27"/>
    <x v="0"/>
    <s v="Offline"/>
    <s v="M"/>
    <d v="2014-02-03T00:00:00"/>
    <x v="2"/>
    <n v="494747245"/>
    <d v="2014-03-20T00:00:00"/>
    <n v="5559"/>
    <n v="255.28"/>
    <n v="159.41999999999999"/>
    <n v="1419101.52"/>
    <n v="886215.78"/>
    <n v="532885.74"/>
  </r>
  <r>
    <x v="5"/>
    <x v="70"/>
    <x v="3"/>
    <s v="Online"/>
    <s v="M"/>
    <d v="2012-04-30T00:00:00"/>
    <x v="1"/>
    <n v="513417565"/>
    <d v="2012-05-18T00:00:00"/>
    <n v="522"/>
    <n v="9.33"/>
    <n v="6.92"/>
    <n v="4870.26"/>
    <n v="3612.24"/>
    <n v="1258.02"/>
  </r>
  <r>
    <x v="2"/>
    <x v="71"/>
    <x v="9"/>
    <s v="Offline"/>
    <s v="C"/>
    <d v="2016-10-23T00:00:00"/>
    <x v="7"/>
    <n v="345718562"/>
    <d v="2016-11-25T00:00:00"/>
    <n v="4660"/>
    <n v="47.45"/>
    <n v="31.79"/>
    <n v="221117"/>
    <n v="148141.4"/>
    <n v="72975.600000000006"/>
  </r>
  <r>
    <x v="3"/>
    <x v="46"/>
    <x v="2"/>
    <s v="Offline"/>
    <s v="H"/>
    <d v="2016-12-06T00:00:00"/>
    <x v="7"/>
    <n v="621386563"/>
    <d v="2016-12-14T00:00:00"/>
    <n v="948"/>
    <n v="651.21"/>
    <n v="524.96"/>
    <n v="617347.07999999996"/>
    <n v="497662.08"/>
    <n v="119685"/>
  </r>
  <r>
    <x v="0"/>
    <x v="30"/>
    <x v="9"/>
    <s v="Offline"/>
    <s v="H"/>
    <d v="2014-07-07T00:00:00"/>
    <x v="2"/>
    <n v="240470397"/>
    <d v="2014-07-11T00:00:00"/>
    <n v="9389"/>
    <n v="47.45"/>
    <n v="31.79"/>
    <n v="445508.05"/>
    <n v="298476.31"/>
    <n v="147031.74"/>
  </r>
  <r>
    <x v="5"/>
    <x v="37"/>
    <x v="2"/>
    <s v="Online"/>
    <s v="M"/>
    <d v="2012-06-13T00:00:00"/>
    <x v="1"/>
    <n v="423331391"/>
    <d v="2012-07-24T00:00:00"/>
    <n v="2021"/>
    <n v="651.21"/>
    <n v="524.96"/>
    <n v="1316095.4099999999"/>
    <n v="1060944.1599999999"/>
    <n v="255151.25"/>
  </r>
  <r>
    <x v="2"/>
    <x v="72"/>
    <x v="8"/>
    <s v="Online"/>
    <s v="H"/>
    <d v="2010-11-26T00:00:00"/>
    <x v="0"/>
    <n v="660643374"/>
    <d v="2010-12-25T00:00:00"/>
    <n v="7910"/>
    <n v="437.2"/>
    <n v="263.33"/>
    <n v="3458252"/>
    <n v="2082940.3"/>
    <n v="1375311.7"/>
  </r>
  <r>
    <x v="1"/>
    <x v="73"/>
    <x v="9"/>
    <s v="Offline"/>
    <s v="C"/>
    <d v="2011-02-08T00:00:00"/>
    <x v="5"/>
    <n v="963392674"/>
    <d v="2011-03-21T00:00:00"/>
    <n v="8156"/>
    <n v="47.45"/>
    <n v="31.79"/>
    <n v="387002.2"/>
    <n v="259279.24"/>
    <n v="127722.96"/>
  </r>
  <r>
    <x v="3"/>
    <x v="26"/>
    <x v="7"/>
    <s v="Online"/>
    <s v="M"/>
    <d v="2011-07-26T00:00:00"/>
    <x v="5"/>
    <n v="512878119"/>
    <d v="2011-09-03T00:00:00"/>
    <n v="888"/>
    <n v="109.28"/>
    <n v="35.840000000000003"/>
    <n v="97040.639999999999"/>
    <n v="31825.919999999998"/>
    <n v="65214.720000000001"/>
  </r>
  <r>
    <x v="4"/>
    <x v="74"/>
    <x v="3"/>
    <s v="Offline"/>
    <s v="L"/>
    <d v="2011-11-11T00:00:00"/>
    <x v="5"/>
    <n v="810711038"/>
    <d v="2011-12-28T00:00:00"/>
    <n v="6267"/>
    <n v="9.33"/>
    <n v="6.92"/>
    <n v="58471.11"/>
    <n v="43367.64"/>
    <n v="15103.47"/>
  </r>
  <r>
    <x v="3"/>
    <x v="46"/>
    <x v="5"/>
    <s v="Offline"/>
    <s v="C"/>
    <d v="2016-06-01T00:00:00"/>
    <x v="7"/>
    <n v="728815257"/>
    <d v="2016-06-29T00:00:00"/>
    <n v="1485"/>
    <n v="154.06"/>
    <n v="90.93"/>
    <n v="228779.1"/>
    <n v="135031.04999999999"/>
    <n v="93748.05"/>
  </r>
  <r>
    <x v="6"/>
    <x v="60"/>
    <x v="6"/>
    <s v="Offline"/>
    <s v="M"/>
    <d v="2015-07-30T00:00:00"/>
    <x v="4"/>
    <n v="559427106"/>
    <d v="2015-08-08T00:00:00"/>
    <n v="5767"/>
    <n v="81.73"/>
    <n v="56.67"/>
    <n v="471336.91"/>
    <n v="326815.89"/>
    <n v="144521.01999999999"/>
  </r>
  <r>
    <x v="3"/>
    <x v="75"/>
    <x v="4"/>
    <s v="Offline"/>
    <s v="L"/>
    <d v="2012-02-10T00:00:00"/>
    <x v="1"/>
    <n v="665095412"/>
    <d v="2012-02-15T00:00:00"/>
    <n v="5367"/>
    <n v="668.27"/>
    <n v="502.54"/>
    <n v="3586605.09"/>
    <n v="2697132.18"/>
    <n v="889472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FC4D6-92F9-48A3-A524-E65E1CD485C7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J42" firstHeaderRow="1" firstDataRow="2" firstDataCol="1"/>
  <pivotFields count="15">
    <pivotField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axis="axisRow" showAll="0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showAll="0"/>
    <pivotField showAll="0"/>
    <pivotField numFmtId="165" showAll="0"/>
    <pivotField axis="axisCol" numFmtId="49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numFmtId="165" showAll="0"/>
    <pivotField dataField="1" numFmtId="166" showAll="0"/>
    <pivotField showAll="0"/>
    <pivotField showAll="0"/>
    <pivotField numFmtId="43" showAll="0"/>
    <pivotField numFmtId="43" showAll="0"/>
    <pivotField numFmtId="4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 Sold" fld="9" baseField="0" baseItem="0" numFmtId="164"/>
  </dataFields>
  <formats count="6">
    <format dxfId="102">
      <pivotArea outline="0" collapsedLevelsAreSubtotals="1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/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E9CE3-A50D-4DA8-BEE5-A584439294E4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15:B24" firstHeaderRow="1" firstDataRow="1" firstDataCol="1"/>
  <pivotFields count="15">
    <pivotField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65" showAll="0"/>
    <pivotField axis="axisRow" numFmtId="49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numFmtId="165" showAll="0"/>
    <pivotField numFmtId="166" showAll="0"/>
    <pivotField showAll="0"/>
    <pivotField showAll="0"/>
    <pivotField dataField="1" numFmtId="43" showAll="0"/>
    <pivotField numFmtId="43" showAll="0"/>
    <pivotField numFmtId="43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 (£)" fld="12" baseField="0" baseItem="0" numFmtId="164"/>
  </dataFields>
  <formats count="8">
    <format dxfId="109">
      <pivotArea outline="0" collapsedLevelsAreSubtotals="1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/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dataOnly="0" labelOnly="1" outline="0" axis="axisValues" fieldPosition="0"/>
    </format>
    <format dxfId="74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1E1F8-78BD-430F-9ED4-AAE56D9B8A6B}" name="PivotTable3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:B11" firstHeaderRow="1" firstDataRow="1" firstDataCol="1"/>
  <pivotFields count="15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65" showAll="0"/>
    <pivotField numFmtId="49" showAll="0"/>
    <pivotField showAll="0"/>
    <pivotField numFmtId="165" showAll="0"/>
    <pivotField numFmtId="166" showAll="0"/>
    <pivotField showAll="0"/>
    <pivotField showAll="0"/>
    <pivotField numFmtId="43" showAll="0"/>
    <pivotField numFmtId="43" showAll="0"/>
    <pivotField dataField="1" numFmtId="43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ofit (£)" fld="14" baseField="0" baseItem="0" numFmtId="164"/>
  </dataFields>
  <formats count="9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dataOnly="0" labelOnly="1" outline="0" axis="axisValues" fieldPosition="0"/>
    </format>
    <format dxfId="73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6FB50-DBF5-47CF-A130-127CD8D583F2}" name="PivotTable5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57:B70" firstHeaderRow="1" firstDataRow="1" firstDataCol="1"/>
  <pivotFields count="15">
    <pivotField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axis="axisRow" showAll="0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showAll="0"/>
    <pivotField showAll="0"/>
    <pivotField numFmtId="165" showAll="0"/>
    <pivotField numFmtId="49" showAll="0"/>
    <pivotField showAll="0"/>
    <pivotField numFmtId="165" showAll="0"/>
    <pivotField numFmtId="166" showAll="0"/>
    <pivotField showAll="0"/>
    <pivotField showAll="0"/>
    <pivotField numFmtId="43" showAll="0"/>
    <pivotField numFmtId="43" showAll="0"/>
    <pivotField dataField="1" numFmtId="4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Profit Per Product (£)" fld="14" baseField="0" baseItem="0" numFmtId="164"/>
  </dataFields>
  <formats count="9"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/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dataOnly="0" labelOnly="1" outline="0" axis="axisValues" fieldPosition="0"/>
    </format>
    <format dxfId="56">
      <pivotArea field="2" type="button" dataOnly="0" labelOnly="1" outline="0" axis="axisRow" fieldPosition="0"/>
    </format>
    <format dxfId="1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3CEA-49B6-4408-B217-9F31EEDC1613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45:B53" firstHeaderRow="1" firstDataRow="1" firstDataCol="1"/>
  <pivotFields count="15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65" showAll="0"/>
    <pivotField numFmtId="49" showAll="0"/>
    <pivotField showAll="0"/>
    <pivotField numFmtId="165" showAll="0"/>
    <pivotField numFmtId="166" showAll="0"/>
    <pivotField showAll="0"/>
    <pivotField showAll="0"/>
    <pivotField dataField="1" numFmtId="43" showAll="0"/>
    <pivotField numFmtId="43" showAll="0"/>
    <pivotField numFmtId="43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hare of  Revenue " fld="12" showDataAs="percentOfTotal" baseField="0" baseItem="0" numFmtId="10"/>
  </dataFields>
  <formats count="10"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dataOnly="0" labelOnly="1" outline="0" axis="axisValues" fieldPosition="0"/>
    </format>
    <format dxfId="125">
      <pivotArea outline="0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A07C-5D79-4258-A4E1-8C7BD9F60BD2}">
  <sheetPr>
    <tabColor rgb="FF00B050"/>
  </sheetPr>
  <dimension ref="A1:AB171"/>
  <sheetViews>
    <sheetView tabSelected="1" topLeftCell="S142" workbookViewId="0">
      <selection activeCell="Z152" sqref="Z152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customWidth="1"/>
    <col min="4" max="4" width="13.42578125" bestFit="1" customWidth="1"/>
    <col min="5" max="5" width="13.28515625" bestFit="1" customWidth="1"/>
    <col min="6" max="6" width="10.7109375" style="2" bestFit="1" customWidth="1"/>
    <col min="7" max="7" width="5" style="3" bestFit="1" customWidth="1"/>
    <col min="8" max="8" width="10" style="1" bestFit="1" customWidth="1"/>
    <col min="9" max="9" width="10.7109375" style="2" bestFit="1" customWidth="1"/>
    <col min="10" max="10" width="11.28515625" style="5" bestFit="1" customWidth="1"/>
    <col min="11" max="11" width="12.42578125" style="1" bestFit="1" customWidth="1"/>
    <col min="12" max="12" width="11.85546875" style="1" bestFit="1" customWidth="1"/>
    <col min="13" max="13" width="17.42578125" style="4" bestFit="1" customWidth="1"/>
    <col min="14" max="14" width="14.140625" style="4" bestFit="1" customWidth="1"/>
    <col min="15" max="15" width="15.28515625" style="4" bestFit="1" customWidth="1"/>
    <col min="19" max="19" width="32.42578125" bestFit="1" customWidth="1"/>
    <col min="20" max="20" width="16.28515625" bestFit="1" customWidth="1"/>
    <col min="21" max="21" width="19.28515625" bestFit="1" customWidth="1"/>
    <col min="22" max="22" width="16.28515625" bestFit="1" customWidth="1"/>
    <col min="23" max="28" width="15.28515625" bestFit="1" customWidth="1"/>
  </cols>
  <sheetData>
    <row r="1" spans="1:2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115</v>
      </c>
      <c r="H1" s="15" t="s">
        <v>6</v>
      </c>
      <c r="I1" s="13" t="s">
        <v>7</v>
      </c>
      <c r="J1" s="16" t="s">
        <v>8</v>
      </c>
      <c r="K1" s="15" t="s">
        <v>116</v>
      </c>
      <c r="L1" s="15" t="s">
        <v>117</v>
      </c>
      <c r="M1" s="17" t="s">
        <v>118</v>
      </c>
      <c r="N1" s="17" t="s">
        <v>119</v>
      </c>
      <c r="O1" s="17" t="s">
        <v>120</v>
      </c>
      <c r="S1" s="46" t="s">
        <v>150</v>
      </c>
    </row>
    <row r="2" spans="1:20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40326</v>
      </c>
      <c r="G2" s="8">
        <f>YEAR(F2)</f>
        <v>2010</v>
      </c>
      <c r="H2" s="9">
        <v>669165933</v>
      </c>
      <c r="I2" s="7">
        <v>40356</v>
      </c>
      <c r="J2" s="10">
        <v>9925</v>
      </c>
      <c r="K2" s="9">
        <v>255.28</v>
      </c>
      <c r="L2" s="9">
        <v>159.41999999999999</v>
      </c>
      <c r="M2" s="11">
        <v>2533654</v>
      </c>
      <c r="N2" s="11">
        <v>1582243.5</v>
      </c>
      <c r="O2" s="11">
        <v>951410.5</v>
      </c>
      <c r="S2" s="46" t="s">
        <v>151</v>
      </c>
    </row>
    <row r="3" spans="1:20" x14ac:dyDescent="0.2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7">
        <v>41143</v>
      </c>
      <c r="G3" s="8">
        <f>YEAR(F3)</f>
        <v>2012</v>
      </c>
      <c r="H3" s="9">
        <v>963881480</v>
      </c>
      <c r="I3" s="7">
        <v>41167</v>
      </c>
      <c r="J3" s="10">
        <v>2804</v>
      </c>
      <c r="K3" s="9">
        <v>205.7</v>
      </c>
      <c r="L3" s="9">
        <v>117.11</v>
      </c>
      <c r="M3" s="11">
        <v>576782.80000000005</v>
      </c>
      <c r="N3" s="11">
        <v>328376.44</v>
      </c>
      <c r="O3" s="11">
        <v>248406.36</v>
      </c>
    </row>
    <row r="4" spans="1:20" x14ac:dyDescent="0.25">
      <c r="A4" s="6" t="s">
        <v>24</v>
      </c>
      <c r="B4" s="6" t="s">
        <v>25</v>
      </c>
      <c r="C4" s="6" t="s">
        <v>26</v>
      </c>
      <c r="D4" s="6" t="s">
        <v>17</v>
      </c>
      <c r="E4" s="6" t="s">
        <v>27</v>
      </c>
      <c r="F4" s="7">
        <v>41761</v>
      </c>
      <c r="G4" s="8">
        <f>YEAR(F4)</f>
        <v>2014</v>
      </c>
      <c r="H4" s="9">
        <v>341417157</v>
      </c>
      <c r="I4" s="7">
        <v>41767</v>
      </c>
      <c r="J4" s="10">
        <v>1779</v>
      </c>
      <c r="K4" s="9">
        <v>651.21</v>
      </c>
      <c r="L4" s="9">
        <v>524.96</v>
      </c>
      <c r="M4" s="11">
        <v>1158502.5900000001</v>
      </c>
      <c r="N4" s="11">
        <v>933903.84</v>
      </c>
      <c r="O4" s="11">
        <v>224598.75</v>
      </c>
      <c r="S4" s="28" t="s">
        <v>134</v>
      </c>
      <c r="T4" s="28"/>
    </row>
    <row r="5" spans="1:20" x14ac:dyDescent="0.25">
      <c r="A5" s="6" t="s">
        <v>28</v>
      </c>
      <c r="B5" s="6" t="s">
        <v>29</v>
      </c>
      <c r="C5" s="6" t="s">
        <v>30</v>
      </c>
      <c r="D5" s="6" t="s">
        <v>22</v>
      </c>
      <c r="E5" s="6" t="s">
        <v>23</v>
      </c>
      <c r="F5" s="7">
        <v>41810</v>
      </c>
      <c r="G5" s="8">
        <f t="shared" ref="G5:G68" si="0">YEAR(F5)</f>
        <v>2014</v>
      </c>
      <c r="H5" s="9">
        <v>514321792</v>
      </c>
      <c r="I5" s="7">
        <v>41825</v>
      </c>
      <c r="J5" s="10">
        <v>8102</v>
      </c>
      <c r="K5" s="9">
        <v>9.33</v>
      </c>
      <c r="L5" s="9">
        <v>6.92</v>
      </c>
      <c r="M5" s="11">
        <v>75591.66</v>
      </c>
      <c r="N5" s="11">
        <v>56065.84</v>
      </c>
      <c r="O5" s="11">
        <v>19525.82</v>
      </c>
      <c r="S5" s="12" t="s">
        <v>124</v>
      </c>
      <c r="T5" s="19" t="s">
        <v>125</v>
      </c>
    </row>
    <row r="6" spans="1:20" x14ac:dyDescent="0.25">
      <c r="A6" s="6" t="s">
        <v>28</v>
      </c>
      <c r="B6" s="6" t="s">
        <v>31</v>
      </c>
      <c r="C6" s="6" t="s">
        <v>26</v>
      </c>
      <c r="D6" s="6" t="s">
        <v>17</v>
      </c>
      <c r="E6" s="6" t="s">
        <v>27</v>
      </c>
      <c r="F6" s="7">
        <v>41306</v>
      </c>
      <c r="G6" s="8">
        <f t="shared" si="0"/>
        <v>2013</v>
      </c>
      <c r="H6" s="9">
        <v>115456712</v>
      </c>
      <c r="I6" s="7">
        <v>41311</v>
      </c>
      <c r="J6" s="10">
        <v>5062</v>
      </c>
      <c r="K6" s="9">
        <v>651.21</v>
      </c>
      <c r="L6" s="9">
        <v>524.96</v>
      </c>
      <c r="M6" s="11">
        <v>3296425.02</v>
      </c>
      <c r="N6" s="11">
        <v>2657347.52</v>
      </c>
      <c r="O6" s="11">
        <v>639077.5</v>
      </c>
      <c r="S6" s="6" t="s">
        <v>41</v>
      </c>
      <c r="T6" s="18">
        <f>SUMIF($A$2:$A$101,S6,$O$2:$O$101)</f>
        <v>6113845.8700000001</v>
      </c>
    </row>
    <row r="7" spans="1:20" x14ac:dyDescent="0.25">
      <c r="A7" s="6" t="s">
        <v>14</v>
      </c>
      <c r="B7" s="6" t="s">
        <v>32</v>
      </c>
      <c r="C7" s="6" t="s">
        <v>16</v>
      </c>
      <c r="D7" s="6" t="s">
        <v>22</v>
      </c>
      <c r="E7" s="6" t="s">
        <v>23</v>
      </c>
      <c r="F7" s="7">
        <v>42039</v>
      </c>
      <c r="G7" s="8">
        <f t="shared" si="0"/>
        <v>2015</v>
      </c>
      <c r="H7" s="9">
        <v>547995746</v>
      </c>
      <c r="I7" s="7">
        <v>42056</v>
      </c>
      <c r="J7" s="10">
        <v>2974</v>
      </c>
      <c r="K7" s="9">
        <v>255.28</v>
      </c>
      <c r="L7" s="9">
        <v>159.41999999999999</v>
      </c>
      <c r="M7" s="11">
        <v>759202.72</v>
      </c>
      <c r="N7" s="11">
        <v>474115.08</v>
      </c>
      <c r="O7" s="11">
        <v>285087.64</v>
      </c>
      <c r="S7" s="6" t="s">
        <v>14</v>
      </c>
      <c r="T7" s="18">
        <f t="shared" ref="T7:T12" si="1">SUMIF($A$2:$A$101,S7,$O$2:$O$101)</f>
        <v>4722160.03</v>
      </c>
    </row>
    <row r="8" spans="1:20" x14ac:dyDescent="0.25">
      <c r="A8" s="6" t="s">
        <v>28</v>
      </c>
      <c r="B8" s="6" t="s">
        <v>33</v>
      </c>
      <c r="C8" s="6" t="s">
        <v>34</v>
      </c>
      <c r="D8" s="6" t="s">
        <v>17</v>
      </c>
      <c r="E8" s="6" t="s">
        <v>35</v>
      </c>
      <c r="F8" s="7">
        <v>40656</v>
      </c>
      <c r="G8" s="8">
        <f t="shared" si="0"/>
        <v>2011</v>
      </c>
      <c r="H8" s="9">
        <v>135425221</v>
      </c>
      <c r="I8" s="7">
        <v>40660</v>
      </c>
      <c r="J8" s="10">
        <v>4187</v>
      </c>
      <c r="K8" s="9">
        <v>668.27</v>
      </c>
      <c r="L8" s="9">
        <v>502.54</v>
      </c>
      <c r="M8" s="11">
        <v>2798046.49</v>
      </c>
      <c r="N8" s="11">
        <v>2104134.98</v>
      </c>
      <c r="O8" s="11">
        <v>693911.51</v>
      </c>
      <c r="S8" s="6" t="s">
        <v>19</v>
      </c>
      <c r="T8" s="18">
        <f t="shared" si="1"/>
        <v>2846907.85</v>
      </c>
    </row>
    <row r="9" spans="1:20" x14ac:dyDescent="0.25">
      <c r="A9" s="6" t="s">
        <v>28</v>
      </c>
      <c r="B9" s="6" t="s">
        <v>36</v>
      </c>
      <c r="C9" s="6" t="s">
        <v>37</v>
      </c>
      <c r="D9" s="6" t="s">
        <v>22</v>
      </c>
      <c r="E9" s="6" t="s">
        <v>18</v>
      </c>
      <c r="F9" s="7">
        <v>41107</v>
      </c>
      <c r="G9" s="8">
        <f t="shared" si="0"/>
        <v>2012</v>
      </c>
      <c r="H9" s="9">
        <v>871543967</v>
      </c>
      <c r="I9" s="7">
        <v>41117</v>
      </c>
      <c r="J9" s="10">
        <v>8082</v>
      </c>
      <c r="K9" s="9">
        <v>154.06</v>
      </c>
      <c r="L9" s="9">
        <v>90.93</v>
      </c>
      <c r="M9" s="11">
        <v>1245112.92</v>
      </c>
      <c r="N9" s="11">
        <v>734896.26</v>
      </c>
      <c r="O9" s="11">
        <v>510216.66</v>
      </c>
      <c r="S9" s="6" t="s">
        <v>24</v>
      </c>
      <c r="T9" s="18">
        <f t="shared" si="1"/>
        <v>11082938.629999999</v>
      </c>
    </row>
    <row r="10" spans="1:20" x14ac:dyDescent="0.25">
      <c r="A10" s="6" t="s">
        <v>28</v>
      </c>
      <c r="B10" s="6" t="s">
        <v>38</v>
      </c>
      <c r="C10" s="6" t="s">
        <v>39</v>
      </c>
      <c r="D10" s="6" t="s">
        <v>17</v>
      </c>
      <c r="E10" s="6" t="s">
        <v>35</v>
      </c>
      <c r="F10" s="7">
        <v>42199</v>
      </c>
      <c r="G10" s="8">
        <f t="shared" si="0"/>
        <v>2015</v>
      </c>
      <c r="H10" s="9">
        <v>770463311</v>
      </c>
      <c r="I10" s="7">
        <v>42241</v>
      </c>
      <c r="J10" s="10">
        <v>6070</v>
      </c>
      <c r="K10" s="9">
        <v>81.73</v>
      </c>
      <c r="L10" s="9">
        <v>56.67</v>
      </c>
      <c r="M10" s="11">
        <v>496101.1</v>
      </c>
      <c r="N10" s="11">
        <v>343986.9</v>
      </c>
      <c r="O10" s="11">
        <v>152114.20000000001</v>
      </c>
      <c r="S10" s="6" t="s">
        <v>71</v>
      </c>
      <c r="T10" s="18">
        <f t="shared" si="1"/>
        <v>5761191.8599999994</v>
      </c>
    </row>
    <row r="11" spans="1:20" x14ac:dyDescent="0.25">
      <c r="A11" s="6" t="s">
        <v>28</v>
      </c>
      <c r="B11" s="6" t="s">
        <v>40</v>
      </c>
      <c r="C11" s="6" t="s">
        <v>21</v>
      </c>
      <c r="D11" s="6" t="s">
        <v>22</v>
      </c>
      <c r="E11" s="6" t="s">
        <v>18</v>
      </c>
      <c r="F11" s="7">
        <v>41747</v>
      </c>
      <c r="G11" s="8">
        <f t="shared" si="0"/>
        <v>2014</v>
      </c>
      <c r="H11" s="9">
        <v>616607081</v>
      </c>
      <c r="I11" s="7">
        <v>41789</v>
      </c>
      <c r="J11" s="10">
        <v>6593</v>
      </c>
      <c r="K11" s="9">
        <v>205.7</v>
      </c>
      <c r="L11" s="9">
        <v>117.11</v>
      </c>
      <c r="M11" s="11">
        <v>1356180.1</v>
      </c>
      <c r="N11" s="11">
        <v>772106.23</v>
      </c>
      <c r="O11" s="11">
        <v>584073.87</v>
      </c>
      <c r="S11" s="6" t="s">
        <v>98</v>
      </c>
      <c r="T11" s="18">
        <f t="shared" si="1"/>
        <v>1457942.76</v>
      </c>
    </row>
    <row r="12" spans="1:20" x14ac:dyDescent="0.25">
      <c r="A12" s="6" t="s">
        <v>41</v>
      </c>
      <c r="B12" s="6" t="s">
        <v>42</v>
      </c>
      <c r="C12" s="6" t="s">
        <v>37</v>
      </c>
      <c r="D12" s="6" t="s">
        <v>22</v>
      </c>
      <c r="E12" s="6" t="s">
        <v>18</v>
      </c>
      <c r="F12" s="7">
        <v>40718</v>
      </c>
      <c r="G12" s="8">
        <f t="shared" si="0"/>
        <v>2011</v>
      </c>
      <c r="H12" s="9">
        <v>814711606</v>
      </c>
      <c r="I12" s="7">
        <v>40736</v>
      </c>
      <c r="J12" s="10">
        <v>124</v>
      </c>
      <c r="K12" s="9">
        <v>154.06</v>
      </c>
      <c r="L12" s="9">
        <v>90.93</v>
      </c>
      <c r="M12" s="11">
        <v>19103.439999999999</v>
      </c>
      <c r="N12" s="11">
        <v>11275.32</v>
      </c>
      <c r="O12" s="11">
        <v>7828.12</v>
      </c>
      <c r="S12" s="6" t="s">
        <v>28</v>
      </c>
      <c r="T12" s="18">
        <f t="shared" si="1"/>
        <v>12183211.400000004</v>
      </c>
    </row>
    <row r="13" spans="1:20" x14ac:dyDescent="0.25">
      <c r="A13" s="6" t="s">
        <v>28</v>
      </c>
      <c r="B13" s="6" t="s">
        <v>43</v>
      </c>
      <c r="C13" s="6" t="s">
        <v>44</v>
      </c>
      <c r="D13" s="6" t="s">
        <v>17</v>
      </c>
      <c r="E13" s="6" t="s">
        <v>18</v>
      </c>
      <c r="F13" s="7">
        <v>41853</v>
      </c>
      <c r="G13" s="8">
        <f t="shared" si="0"/>
        <v>2014</v>
      </c>
      <c r="H13" s="9">
        <v>939825713</v>
      </c>
      <c r="I13" s="7">
        <v>41870</v>
      </c>
      <c r="J13" s="10">
        <v>4168</v>
      </c>
      <c r="K13" s="9">
        <v>109.28</v>
      </c>
      <c r="L13" s="9">
        <v>35.840000000000003</v>
      </c>
      <c r="M13" s="11">
        <v>455479.03999999998</v>
      </c>
      <c r="N13" s="11">
        <v>149381.12</v>
      </c>
      <c r="O13" s="11">
        <v>306097.91999999998</v>
      </c>
      <c r="S13" s="6"/>
      <c r="T13" s="17">
        <f>SUM(T6:T12)</f>
        <v>44168198.400000006</v>
      </c>
    </row>
    <row r="14" spans="1:20" x14ac:dyDescent="0.25">
      <c r="A14" s="6" t="s">
        <v>41</v>
      </c>
      <c r="B14" s="6" t="s">
        <v>45</v>
      </c>
      <c r="C14" s="6" t="s">
        <v>44</v>
      </c>
      <c r="D14" s="6" t="s">
        <v>22</v>
      </c>
      <c r="E14" s="6" t="s">
        <v>27</v>
      </c>
      <c r="F14" s="7">
        <v>42748</v>
      </c>
      <c r="G14" s="8">
        <f t="shared" si="0"/>
        <v>2017</v>
      </c>
      <c r="H14" s="9">
        <v>187310731</v>
      </c>
      <c r="I14" s="7">
        <v>42795</v>
      </c>
      <c r="J14" s="10">
        <v>8263</v>
      </c>
      <c r="K14" s="9">
        <v>109.28</v>
      </c>
      <c r="L14" s="9">
        <v>35.840000000000003</v>
      </c>
      <c r="M14" s="11">
        <v>902980.64</v>
      </c>
      <c r="N14" s="11">
        <v>296145.91999999998</v>
      </c>
      <c r="O14" s="11">
        <v>606834.72</v>
      </c>
    </row>
    <row r="15" spans="1:20" x14ac:dyDescent="0.25">
      <c r="A15" s="6" t="s">
        <v>19</v>
      </c>
      <c r="B15" s="6" t="s">
        <v>46</v>
      </c>
      <c r="C15" s="6" t="s">
        <v>34</v>
      </c>
      <c r="D15" s="6" t="s">
        <v>17</v>
      </c>
      <c r="E15" s="6" t="s">
        <v>18</v>
      </c>
      <c r="F15" s="7">
        <v>42774</v>
      </c>
      <c r="G15" s="8">
        <f t="shared" si="0"/>
        <v>2017</v>
      </c>
      <c r="H15" s="9">
        <v>522840487</v>
      </c>
      <c r="I15" s="7">
        <v>42779</v>
      </c>
      <c r="J15" s="10">
        <v>8974</v>
      </c>
      <c r="K15" s="9">
        <v>668.27</v>
      </c>
      <c r="L15" s="9">
        <v>502.54</v>
      </c>
      <c r="M15" s="11">
        <v>5997054.9800000004</v>
      </c>
      <c r="N15" s="11">
        <v>4509793.96</v>
      </c>
      <c r="O15" s="11">
        <v>1487261.02</v>
      </c>
      <c r="S15" s="41" t="s">
        <v>133</v>
      </c>
      <c r="T15" s="41"/>
    </row>
    <row r="16" spans="1:20" x14ac:dyDescent="0.25">
      <c r="A16" s="6" t="s">
        <v>41</v>
      </c>
      <c r="B16" s="6" t="s">
        <v>47</v>
      </c>
      <c r="C16" s="6" t="s">
        <v>39</v>
      </c>
      <c r="D16" s="6" t="s">
        <v>17</v>
      </c>
      <c r="E16" s="6" t="s">
        <v>23</v>
      </c>
      <c r="F16" s="7">
        <v>41689</v>
      </c>
      <c r="G16" s="8">
        <f t="shared" si="0"/>
        <v>2014</v>
      </c>
      <c r="H16" s="9">
        <v>832401311</v>
      </c>
      <c r="I16" s="7">
        <v>41693</v>
      </c>
      <c r="J16" s="10">
        <v>4901</v>
      </c>
      <c r="K16" s="9">
        <v>81.73</v>
      </c>
      <c r="L16" s="9">
        <v>56.67</v>
      </c>
      <c r="M16" s="11">
        <v>400558.73</v>
      </c>
      <c r="N16" s="11">
        <v>277739.67</v>
      </c>
      <c r="O16" s="11">
        <v>122819.06</v>
      </c>
      <c r="S16" s="12" t="s">
        <v>115</v>
      </c>
      <c r="T16" s="19" t="s">
        <v>126</v>
      </c>
    </row>
    <row r="17" spans="1:28" x14ac:dyDescent="0.25">
      <c r="A17" s="6" t="s">
        <v>24</v>
      </c>
      <c r="B17" s="6" t="s">
        <v>48</v>
      </c>
      <c r="C17" s="6" t="s">
        <v>44</v>
      </c>
      <c r="D17" s="6" t="s">
        <v>22</v>
      </c>
      <c r="E17" s="6" t="s">
        <v>35</v>
      </c>
      <c r="F17" s="7">
        <v>41022</v>
      </c>
      <c r="G17" s="8">
        <f t="shared" si="0"/>
        <v>2012</v>
      </c>
      <c r="H17" s="9">
        <v>972292029</v>
      </c>
      <c r="I17" s="7">
        <v>41063</v>
      </c>
      <c r="J17" s="10">
        <v>1673</v>
      </c>
      <c r="K17" s="9">
        <v>109.28</v>
      </c>
      <c r="L17" s="9">
        <v>35.840000000000003</v>
      </c>
      <c r="M17" s="11">
        <v>182825.44</v>
      </c>
      <c r="N17" s="11">
        <v>59960.32</v>
      </c>
      <c r="O17" s="11">
        <v>122865.12</v>
      </c>
      <c r="S17" s="8">
        <v>2010</v>
      </c>
      <c r="T17" s="18">
        <f>SUMIF($G$2:$G$101,S17,$M$2:$M$101)</f>
        <v>19186024.920000002</v>
      </c>
    </row>
    <row r="18" spans="1:28" x14ac:dyDescent="0.25">
      <c r="A18" s="6" t="s">
        <v>41</v>
      </c>
      <c r="B18" s="6" t="s">
        <v>49</v>
      </c>
      <c r="C18" s="6" t="s">
        <v>50</v>
      </c>
      <c r="D18" s="6" t="s">
        <v>17</v>
      </c>
      <c r="E18" s="6" t="s">
        <v>35</v>
      </c>
      <c r="F18" s="7">
        <v>42693</v>
      </c>
      <c r="G18" s="8">
        <f t="shared" si="0"/>
        <v>2016</v>
      </c>
      <c r="H18" s="9">
        <v>419123971</v>
      </c>
      <c r="I18" s="7">
        <v>42722</v>
      </c>
      <c r="J18" s="10">
        <v>6952</v>
      </c>
      <c r="K18" s="9">
        <v>437.2</v>
      </c>
      <c r="L18" s="9">
        <v>263.33</v>
      </c>
      <c r="M18" s="11">
        <v>3039414.4</v>
      </c>
      <c r="N18" s="11">
        <v>1830670.16</v>
      </c>
      <c r="O18" s="11">
        <v>1208744.24</v>
      </c>
      <c r="S18" s="8">
        <v>2011</v>
      </c>
      <c r="T18" s="18">
        <f>SUMIF($G$2:$G$101,S18,$M$2:$M$101)</f>
        <v>11129166.07</v>
      </c>
    </row>
    <row r="19" spans="1:28" x14ac:dyDescent="0.25">
      <c r="A19" s="6" t="s">
        <v>28</v>
      </c>
      <c r="B19" s="6" t="s">
        <v>51</v>
      </c>
      <c r="C19" s="6" t="s">
        <v>52</v>
      </c>
      <c r="D19" s="6" t="s">
        <v>17</v>
      </c>
      <c r="E19" s="6" t="s">
        <v>23</v>
      </c>
      <c r="F19" s="7">
        <v>42095</v>
      </c>
      <c r="G19" s="8">
        <f t="shared" si="0"/>
        <v>2015</v>
      </c>
      <c r="H19" s="9">
        <v>519820964</v>
      </c>
      <c r="I19" s="7">
        <v>42112</v>
      </c>
      <c r="J19" s="10">
        <v>5430</v>
      </c>
      <c r="K19" s="9">
        <v>47.45</v>
      </c>
      <c r="L19" s="9">
        <v>31.79</v>
      </c>
      <c r="M19" s="11">
        <v>257653.5</v>
      </c>
      <c r="N19" s="11">
        <v>172619.7</v>
      </c>
      <c r="O19" s="11">
        <v>85033.8</v>
      </c>
      <c r="S19" s="8">
        <v>2012</v>
      </c>
      <c r="T19" s="18">
        <f t="shared" ref="T19:T24" si="2">SUMIF($G$2:$G$101,S19,$M$2:$M$101)</f>
        <v>31898644.52</v>
      </c>
    </row>
    <row r="20" spans="1:28" x14ac:dyDescent="0.25">
      <c r="A20" s="6" t="s">
        <v>41</v>
      </c>
      <c r="B20" s="6" t="s">
        <v>53</v>
      </c>
      <c r="C20" s="6" t="s">
        <v>34</v>
      </c>
      <c r="D20" s="6" t="s">
        <v>17</v>
      </c>
      <c r="E20" s="6" t="s">
        <v>27</v>
      </c>
      <c r="F20" s="7">
        <v>40542</v>
      </c>
      <c r="G20" s="8">
        <f t="shared" si="0"/>
        <v>2010</v>
      </c>
      <c r="H20" s="9">
        <v>441619336</v>
      </c>
      <c r="I20" s="7">
        <v>40563</v>
      </c>
      <c r="J20" s="10">
        <v>3830</v>
      </c>
      <c r="K20" s="9">
        <v>668.27</v>
      </c>
      <c r="L20" s="9">
        <v>502.54</v>
      </c>
      <c r="M20" s="11">
        <v>2559474.1</v>
      </c>
      <c r="N20" s="11">
        <v>1924728.2</v>
      </c>
      <c r="O20" s="11">
        <v>634745.9</v>
      </c>
      <c r="S20" s="8">
        <v>2013</v>
      </c>
      <c r="T20" s="18">
        <f t="shared" si="2"/>
        <v>20330448.66</v>
      </c>
    </row>
    <row r="21" spans="1:28" x14ac:dyDescent="0.25">
      <c r="A21" s="6" t="s">
        <v>14</v>
      </c>
      <c r="B21" s="6" t="s">
        <v>54</v>
      </c>
      <c r="C21" s="6" t="s">
        <v>55</v>
      </c>
      <c r="D21" s="6" t="s">
        <v>22</v>
      </c>
      <c r="E21" s="6" t="s">
        <v>27</v>
      </c>
      <c r="F21" s="7">
        <v>41121</v>
      </c>
      <c r="G21" s="8">
        <f t="shared" si="0"/>
        <v>2012</v>
      </c>
      <c r="H21" s="9">
        <v>322067916</v>
      </c>
      <c r="I21" s="7">
        <v>41163</v>
      </c>
      <c r="J21" s="10">
        <v>5908</v>
      </c>
      <c r="K21" s="9">
        <v>421.89</v>
      </c>
      <c r="L21" s="9">
        <v>364.69</v>
      </c>
      <c r="M21" s="11">
        <v>2492526.12</v>
      </c>
      <c r="N21" s="11">
        <v>2154588.52</v>
      </c>
      <c r="O21" s="11">
        <v>337937.6</v>
      </c>
      <c r="S21" s="8">
        <v>2014</v>
      </c>
      <c r="T21" s="18">
        <f t="shared" si="2"/>
        <v>16630214.430000002</v>
      </c>
    </row>
    <row r="22" spans="1:28" x14ac:dyDescent="0.25">
      <c r="A22" s="6" t="s">
        <v>24</v>
      </c>
      <c r="B22" s="6" t="s">
        <v>56</v>
      </c>
      <c r="C22" s="6" t="s">
        <v>16</v>
      </c>
      <c r="D22" s="6" t="s">
        <v>22</v>
      </c>
      <c r="E22" s="6" t="s">
        <v>27</v>
      </c>
      <c r="F22" s="7">
        <v>41773</v>
      </c>
      <c r="G22" s="8">
        <f t="shared" si="0"/>
        <v>2014</v>
      </c>
      <c r="H22" s="9">
        <v>819028031</v>
      </c>
      <c r="I22" s="7">
        <v>41818</v>
      </c>
      <c r="J22" s="10">
        <v>7450</v>
      </c>
      <c r="K22" s="9">
        <v>255.28</v>
      </c>
      <c r="L22" s="9">
        <v>159.41999999999999</v>
      </c>
      <c r="M22" s="11">
        <v>1901836</v>
      </c>
      <c r="N22" s="11">
        <v>1187679</v>
      </c>
      <c r="O22" s="11">
        <v>714157</v>
      </c>
      <c r="S22" s="8">
        <v>2015</v>
      </c>
      <c r="T22" s="18">
        <f t="shared" si="2"/>
        <v>12427982.860000001</v>
      </c>
    </row>
    <row r="23" spans="1:28" x14ac:dyDescent="0.25">
      <c r="A23" s="6" t="s">
        <v>24</v>
      </c>
      <c r="B23" s="6" t="s">
        <v>57</v>
      </c>
      <c r="C23" s="6" t="s">
        <v>16</v>
      </c>
      <c r="D23" s="6" t="s">
        <v>22</v>
      </c>
      <c r="E23" s="6" t="s">
        <v>18</v>
      </c>
      <c r="F23" s="7">
        <v>42216</v>
      </c>
      <c r="G23" s="8">
        <f t="shared" si="0"/>
        <v>2015</v>
      </c>
      <c r="H23" s="9">
        <v>860673511</v>
      </c>
      <c r="I23" s="7">
        <v>42250</v>
      </c>
      <c r="J23" s="10">
        <v>1273</v>
      </c>
      <c r="K23" s="9">
        <v>255.28</v>
      </c>
      <c r="L23" s="9">
        <v>159.41999999999999</v>
      </c>
      <c r="M23" s="11">
        <v>324971.44</v>
      </c>
      <c r="N23" s="11">
        <v>202941.66</v>
      </c>
      <c r="O23" s="11">
        <v>122029.78</v>
      </c>
      <c r="S23" s="8">
        <v>2016</v>
      </c>
      <c r="T23" s="18">
        <f t="shared" si="2"/>
        <v>12372867.219999999</v>
      </c>
    </row>
    <row r="24" spans="1:28" x14ac:dyDescent="0.25">
      <c r="A24" s="6" t="s">
        <v>19</v>
      </c>
      <c r="B24" s="6" t="s">
        <v>46</v>
      </c>
      <c r="C24" s="6" t="s">
        <v>58</v>
      </c>
      <c r="D24" s="6" t="s">
        <v>22</v>
      </c>
      <c r="E24" s="6" t="s">
        <v>27</v>
      </c>
      <c r="F24" s="7">
        <v>42551</v>
      </c>
      <c r="G24" s="8">
        <f t="shared" si="0"/>
        <v>2016</v>
      </c>
      <c r="H24" s="9">
        <v>795490682</v>
      </c>
      <c r="I24" s="7">
        <v>42577</v>
      </c>
      <c r="J24" s="10">
        <v>2225</v>
      </c>
      <c r="K24" s="9">
        <v>152.58000000000001</v>
      </c>
      <c r="L24" s="9">
        <v>97.44</v>
      </c>
      <c r="M24" s="11">
        <v>339490.5</v>
      </c>
      <c r="N24" s="11">
        <v>216804</v>
      </c>
      <c r="O24" s="11">
        <v>122686.5</v>
      </c>
      <c r="S24" s="8">
        <v>2017</v>
      </c>
      <c r="T24" s="18">
        <f t="shared" si="2"/>
        <v>13373419.629999999</v>
      </c>
    </row>
    <row r="25" spans="1:28" x14ac:dyDescent="0.25">
      <c r="A25" s="6" t="s">
        <v>14</v>
      </c>
      <c r="B25" s="6" t="s">
        <v>59</v>
      </c>
      <c r="C25" s="6" t="s">
        <v>30</v>
      </c>
      <c r="D25" s="6" t="s">
        <v>22</v>
      </c>
      <c r="E25" s="6" t="s">
        <v>18</v>
      </c>
      <c r="F25" s="7">
        <v>41890</v>
      </c>
      <c r="G25" s="8">
        <f t="shared" si="0"/>
        <v>2014</v>
      </c>
      <c r="H25" s="9">
        <v>142278373</v>
      </c>
      <c r="I25" s="7">
        <v>41916</v>
      </c>
      <c r="J25" s="10">
        <v>2187</v>
      </c>
      <c r="K25" s="9">
        <v>9.33</v>
      </c>
      <c r="L25" s="9">
        <v>6.92</v>
      </c>
      <c r="M25" s="11">
        <v>20404.71</v>
      </c>
      <c r="N25" s="11">
        <v>15134.04</v>
      </c>
      <c r="O25" s="11">
        <v>5270.67</v>
      </c>
      <c r="S25" s="6"/>
      <c r="T25" s="17">
        <f>SUM(T17:T24)</f>
        <v>137348768.31</v>
      </c>
    </row>
    <row r="26" spans="1:28" x14ac:dyDescent="0.25">
      <c r="A26" s="6" t="s">
        <v>24</v>
      </c>
      <c r="B26" s="6" t="s">
        <v>60</v>
      </c>
      <c r="C26" s="6" t="s">
        <v>39</v>
      </c>
      <c r="D26" s="6" t="s">
        <v>22</v>
      </c>
      <c r="E26" s="6" t="s">
        <v>27</v>
      </c>
      <c r="F26" s="7">
        <v>42497</v>
      </c>
      <c r="G26" s="8">
        <f t="shared" si="0"/>
        <v>2016</v>
      </c>
      <c r="H26" s="9">
        <v>740147912</v>
      </c>
      <c r="I26" s="7">
        <v>42500</v>
      </c>
      <c r="J26" s="10">
        <v>5070</v>
      </c>
      <c r="K26" s="9">
        <v>81.73</v>
      </c>
      <c r="L26" s="9">
        <v>56.67</v>
      </c>
      <c r="M26" s="11">
        <v>414371.1</v>
      </c>
      <c r="N26" s="11">
        <v>287316.90000000002</v>
      </c>
      <c r="O26" s="11">
        <v>127054.2</v>
      </c>
    </row>
    <row r="27" spans="1:28" x14ac:dyDescent="0.25">
      <c r="A27" s="6" t="s">
        <v>24</v>
      </c>
      <c r="B27" s="6" t="s">
        <v>61</v>
      </c>
      <c r="C27" s="6" t="s">
        <v>50</v>
      </c>
      <c r="D27" s="6" t="s">
        <v>22</v>
      </c>
      <c r="E27" s="6" t="s">
        <v>18</v>
      </c>
      <c r="F27" s="7">
        <v>42877</v>
      </c>
      <c r="G27" s="8">
        <f t="shared" si="0"/>
        <v>2017</v>
      </c>
      <c r="H27" s="9">
        <v>898523128</v>
      </c>
      <c r="I27" s="7">
        <v>42891</v>
      </c>
      <c r="J27" s="10">
        <v>1815</v>
      </c>
      <c r="K27" s="9">
        <v>437.2</v>
      </c>
      <c r="L27" s="9">
        <v>263.33</v>
      </c>
      <c r="M27" s="11">
        <v>793518</v>
      </c>
      <c r="N27" s="11">
        <v>477943.95</v>
      </c>
      <c r="O27" s="11">
        <v>315574.05</v>
      </c>
      <c r="S27" s="41" t="s">
        <v>135</v>
      </c>
      <c r="T27" s="41"/>
      <c r="U27" s="41"/>
      <c r="V27" s="41"/>
      <c r="W27" s="41"/>
      <c r="X27" s="41"/>
      <c r="Y27" s="41"/>
      <c r="Z27" s="41"/>
      <c r="AA27" s="41"/>
    </row>
    <row r="28" spans="1:28" x14ac:dyDescent="0.25">
      <c r="A28" s="6" t="s">
        <v>14</v>
      </c>
      <c r="B28" s="6" t="s">
        <v>62</v>
      </c>
      <c r="C28" s="6" t="s">
        <v>30</v>
      </c>
      <c r="D28" s="6" t="s">
        <v>22</v>
      </c>
      <c r="E28" s="6" t="s">
        <v>35</v>
      </c>
      <c r="F28" s="7">
        <v>41925</v>
      </c>
      <c r="G28" s="8">
        <f t="shared" si="0"/>
        <v>2014</v>
      </c>
      <c r="H28" s="9">
        <v>347140347</v>
      </c>
      <c r="I28" s="7">
        <v>41953</v>
      </c>
      <c r="J28" s="10">
        <v>5398</v>
      </c>
      <c r="K28" s="9">
        <v>9.33</v>
      </c>
      <c r="L28" s="9">
        <v>6.92</v>
      </c>
      <c r="M28" s="11">
        <v>50363.34</v>
      </c>
      <c r="N28" s="11">
        <v>37354.160000000003</v>
      </c>
      <c r="O28" s="11">
        <v>13009.18</v>
      </c>
      <c r="S28" s="12" t="s">
        <v>138</v>
      </c>
      <c r="T28" s="20">
        <v>2010</v>
      </c>
      <c r="U28" s="20">
        <v>2011</v>
      </c>
      <c r="V28" s="20">
        <v>2012</v>
      </c>
      <c r="W28" s="20">
        <v>2013</v>
      </c>
      <c r="X28" s="20">
        <v>2014</v>
      </c>
      <c r="Y28" s="20">
        <v>2015</v>
      </c>
      <c r="Z28" s="20">
        <v>2016</v>
      </c>
      <c r="AA28" s="20">
        <v>2017</v>
      </c>
      <c r="AB28" s="40" t="s">
        <v>145</v>
      </c>
    </row>
    <row r="29" spans="1:28" x14ac:dyDescent="0.25">
      <c r="A29" s="6" t="s">
        <v>28</v>
      </c>
      <c r="B29" s="6" t="s">
        <v>63</v>
      </c>
      <c r="C29" s="6" t="s">
        <v>30</v>
      </c>
      <c r="D29" s="6" t="s">
        <v>22</v>
      </c>
      <c r="E29" s="6" t="s">
        <v>27</v>
      </c>
      <c r="F29" s="7">
        <v>40305</v>
      </c>
      <c r="G29" s="8">
        <f t="shared" si="0"/>
        <v>2010</v>
      </c>
      <c r="H29" s="9">
        <v>686048400</v>
      </c>
      <c r="I29" s="7">
        <v>40308</v>
      </c>
      <c r="J29" s="10">
        <v>5822</v>
      </c>
      <c r="K29" s="9">
        <v>9.33</v>
      </c>
      <c r="L29" s="9">
        <v>6.92</v>
      </c>
      <c r="M29" s="11">
        <v>54319.26</v>
      </c>
      <c r="N29" s="11">
        <v>40288.239999999998</v>
      </c>
      <c r="O29" s="11">
        <v>14031.02</v>
      </c>
      <c r="S29" s="30" t="s">
        <v>16</v>
      </c>
      <c r="T29" s="21">
        <f>SUMIFS($J$2:$J$101,$C$2:$C$101,S29,$G$2:$G$101,$T28)</f>
        <v>9925</v>
      </c>
      <c r="U29" s="21">
        <f>SUMIFS($J$2:$J$101,$C$2:$C$101,S29,$G$2:$G$101,$U$28)</f>
        <v>0</v>
      </c>
      <c r="V29" s="21">
        <f>SUMIFS($J$2:$J$101,$C$2:$C$101,S29,$G$2:$G$101,$V$28)</f>
        <v>8614</v>
      </c>
      <c r="W29" s="21">
        <f>SUMIFS($J$2:$J$101,$C$2:$C$101,S29,$G$2:$G$101,$W$28)</f>
        <v>4750</v>
      </c>
      <c r="X29" s="21">
        <f>SUMIFS($J$2:$J$101,$C$2:$C$101,S29,$G$2:$G$101,$X$28)</f>
        <v>13009</v>
      </c>
      <c r="Y29" s="21">
        <f>SUMIFS($J$2:$J$101,$C$2:$C$101,S29,$G$2:$G$101,$Y$28)</f>
        <v>4247</v>
      </c>
      <c r="Z29" s="21">
        <f>SUMIFS($J$2:$J$101,$C$2:$C$101,S29,$G$2:$G$101,$Z$28)</f>
        <v>0</v>
      </c>
      <c r="AA29" s="21">
        <f>SUMIFS($J$2:$J$101,$C$2:$C$101,S29,$G$2:$G$101,$AA$28)</f>
        <v>0</v>
      </c>
      <c r="AB29" s="11">
        <f>SUM(T29:AA29)</f>
        <v>40545</v>
      </c>
    </row>
    <row r="30" spans="1:28" x14ac:dyDescent="0.25">
      <c r="A30" s="6" t="s">
        <v>24</v>
      </c>
      <c r="B30" s="6" t="s">
        <v>56</v>
      </c>
      <c r="C30" s="6" t="s">
        <v>52</v>
      </c>
      <c r="D30" s="6" t="s">
        <v>17</v>
      </c>
      <c r="E30" s="6" t="s">
        <v>23</v>
      </c>
      <c r="F30" s="7">
        <v>41838</v>
      </c>
      <c r="G30" s="8">
        <f t="shared" si="0"/>
        <v>2014</v>
      </c>
      <c r="H30" s="9">
        <v>435608613</v>
      </c>
      <c r="I30" s="7">
        <v>41850</v>
      </c>
      <c r="J30" s="10">
        <v>5124</v>
      </c>
      <c r="K30" s="9">
        <v>47.45</v>
      </c>
      <c r="L30" s="9">
        <v>31.79</v>
      </c>
      <c r="M30" s="11">
        <v>243133.8</v>
      </c>
      <c r="N30" s="11">
        <v>162891.96</v>
      </c>
      <c r="O30" s="11">
        <v>80241.84</v>
      </c>
      <c r="S30" s="25" t="s">
        <v>21</v>
      </c>
      <c r="T30" s="10">
        <f>SUMIFS($J$2:$J$101,$C$2:$C$101,S30,$G$2:$G$101,$T$28)</f>
        <v>0</v>
      </c>
      <c r="U30" s="10">
        <f t="shared" ref="U30:U40" si="3">SUMIFS($J$2:$J$101,$C$2:$C$101,S30,$G$2:$G$101,$U$28)</f>
        <v>0</v>
      </c>
      <c r="V30" s="10">
        <f t="shared" ref="V30:V40" si="4">SUMIFS($J$2:$J$101,$C$2:$C$101,S30,$G$2:$G$101,$V$28)</f>
        <v>4921</v>
      </c>
      <c r="W30" s="10">
        <f t="shared" ref="W30:W40" si="5">SUMIFS($J$2:$J$101,$C$2:$C$101,S30,$G$2:$G$101,$W$28)</f>
        <v>4745</v>
      </c>
      <c r="X30" s="10">
        <f t="shared" ref="X30:X40" si="6">SUMIFS($J$2:$J$101,$C$2:$C$101,S30,$G$2:$G$101,$X$28)</f>
        <v>6593</v>
      </c>
      <c r="Y30" s="10">
        <f t="shared" ref="Y30:Y40" si="7">SUMIFS($J$2:$J$101,$C$2:$C$101,S30,$G$2:$G$101,$Y$28)</f>
        <v>0</v>
      </c>
      <c r="Z30" s="10">
        <f t="shared" ref="Z30:Z40" si="8">SUMIFS($J$2:$J$101,$C$2:$C$101,S30,$G$2:$G$101,$Z$28)</f>
        <v>962</v>
      </c>
      <c r="AA30" s="10">
        <f t="shared" ref="AA30:AA40" si="9">SUMIFS($J$2:$J$101,$C$2:$C$101,S30,$G$2:$G$101,$AA$28)</f>
        <v>8656</v>
      </c>
      <c r="AB30" s="11">
        <f t="shared" ref="AB30:AB40" si="10">SUM(T30:AA30)</f>
        <v>25877</v>
      </c>
    </row>
    <row r="31" spans="1:28" x14ac:dyDescent="0.25">
      <c r="A31" s="6" t="s">
        <v>28</v>
      </c>
      <c r="B31" s="6" t="s">
        <v>64</v>
      </c>
      <c r="C31" s="6" t="s">
        <v>34</v>
      </c>
      <c r="D31" s="6" t="s">
        <v>17</v>
      </c>
      <c r="E31" s="6" t="s">
        <v>27</v>
      </c>
      <c r="F31" s="7">
        <v>41055</v>
      </c>
      <c r="G31" s="8">
        <f t="shared" si="0"/>
        <v>2012</v>
      </c>
      <c r="H31" s="9">
        <v>886494815</v>
      </c>
      <c r="I31" s="7">
        <v>41069</v>
      </c>
      <c r="J31" s="10">
        <v>2370</v>
      </c>
      <c r="K31" s="9">
        <v>668.27</v>
      </c>
      <c r="L31" s="9">
        <v>502.54</v>
      </c>
      <c r="M31" s="11">
        <v>1583799.9</v>
      </c>
      <c r="N31" s="11">
        <v>1191019.8</v>
      </c>
      <c r="O31" s="11">
        <v>392780.1</v>
      </c>
      <c r="S31" s="25" t="s">
        <v>26</v>
      </c>
      <c r="T31" s="10">
        <f t="shared" ref="T31:T40" si="11">SUMIFS($J$2:$J$101,$C$2:$C$101,S31,$G$2:$G$101,$T$28)</f>
        <v>8287</v>
      </c>
      <c r="U31" s="10">
        <f t="shared" si="3"/>
        <v>8975</v>
      </c>
      <c r="V31" s="10">
        <f>SUMIFS($J$2:$J$101,$C$2:$C$101,S31,$G$2:$G$101,$V$28)</f>
        <v>13982</v>
      </c>
      <c r="W31" s="10">
        <f t="shared" si="5"/>
        <v>10072</v>
      </c>
      <c r="X31" s="10">
        <f t="shared" si="6"/>
        <v>1779</v>
      </c>
      <c r="Y31" s="10">
        <f t="shared" si="7"/>
        <v>2924</v>
      </c>
      <c r="Z31" s="10">
        <f t="shared" si="8"/>
        <v>948</v>
      </c>
      <c r="AA31" s="10">
        <f t="shared" si="9"/>
        <v>0</v>
      </c>
      <c r="AB31" s="11">
        <f t="shared" si="10"/>
        <v>46967</v>
      </c>
    </row>
    <row r="32" spans="1:28" x14ac:dyDescent="0.25">
      <c r="A32" s="6" t="s">
        <v>24</v>
      </c>
      <c r="B32" s="6" t="s">
        <v>65</v>
      </c>
      <c r="C32" s="6" t="s">
        <v>50</v>
      </c>
      <c r="D32" s="6" t="s">
        <v>17</v>
      </c>
      <c r="E32" s="6" t="s">
        <v>35</v>
      </c>
      <c r="F32" s="7">
        <v>41169</v>
      </c>
      <c r="G32" s="8">
        <f t="shared" si="0"/>
        <v>2012</v>
      </c>
      <c r="H32" s="9">
        <v>249693334</v>
      </c>
      <c r="I32" s="7">
        <v>41202</v>
      </c>
      <c r="J32" s="10">
        <v>8661</v>
      </c>
      <c r="K32" s="9">
        <v>437.2</v>
      </c>
      <c r="L32" s="9">
        <v>263.33</v>
      </c>
      <c r="M32" s="11">
        <v>3786589.2</v>
      </c>
      <c r="N32" s="11">
        <v>2280701.13</v>
      </c>
      <c r="O32" s="11">
        <v>1505888.07</v>
      </c>
      <c r="S32" s="25" t="s">
        <v>30</v>
      </c>
      <c r="T32" s="10">
        <f t="shared" si="11"/>
        <v>5822</v>
      </c>
      <c r="U32" s="10">
        <f t="shared" si="3"/>
        <v>10051</v>
      </c>
      <c r="V32" s="10">
        <f t="shared" si="4"/>
        <v>522</v>
      </c>
      <c r="W32" s="10">
        <f t="shared" si="5"/>
        <v>17243</v>
      </c>
      <c r="X32" s="10">
        <f t="shared" si="6"/>
        <v>15687</v>
      </c>
      <c r="Y32" s="10">
        <f t="shared" si="7"/>
        <v>673</v>
      </c>
      <c r="Z32" s="10">
        <f t="shared" si="8"/>
        <v>0</v>
      </c>
      <c r="AA32" s="10">
        <f t="shared" si="9"/>
        <v>0</v>
      </c>
      <c r="AB32" s="11">
        <f t="shared" si="10"/>
        <v>49998</v>
      </c>
    </row>
    <row r="33" spans="1:28" x14ac:dyDescent="0.25">
      <c r="A33" s="6" t="s">
        <v>28</v>
      </c>
      <c r="B33" s="6" t="s">
        <v>66</v>
      </c>
      <c r="C33" s="6" t="s">
        <v>39</v>
      </c>
      <c r="D33" s="6" t="s">
        <v>17</v>
      </c>
      <c r="E33" s="6" t="s">
        <v>23</v>
      </c>
      <c r="F33" s="7">
        <v>41637</v>
      </c>
      <c r="G33" s="8">
        <f t="shared" si="0"/>
        <v>2013</v>
      </c>
      <c r="H33" s="9">
        <v>406502997</v>
      </c>
      <c r="I33" s="7">
        <v>41667</v>
      </c>
      <c r="J33" s="10">
        <v>2125</v>
      </c>
      <c r="K33" s="9">
        <v>81.73</v>
      </c>
      <c r="L33" s="9">
        <v>56.67</v>
      </c>
      <c r="M33" s="11">
        <v>173676.25</v>
      </c>
      <c r="N33" s="11">
        <v>120423.75</v>
      </c>
      <c r="O33" s="11">
        <v>53252.5</v>
      </c>
      <c r="S33" s="25" t="s">
        <v>34</v>
      </c>
      <c r="T33" s="10">
        <f t="shared" si="11"/>
        <v>3830</v>
      </c>
      <c r="U33" s="10">
        <f t="shared" si="3"/>
        <v>4187</v>
      </c>
      <c r="V33" s="10">
        <f t="shared" si="4"/>
        <v>12532</v>
      </c>
      <c r="W33" s="10">
        <f t="shared" si="5"/>
        <v>0</v>
      </c>
      <c r="X33" s="10">
        <f t="shared" si="6"/>
        <v>6954</v>
      </c>
      <c r="Y33" s="10">
        <f t="shared" si="7"/>
        <v>8250</v>
      </c>
      <c r="Z33" s="10">
        <f t="shared" si="8"/>
        <v>0</v>
      </c>
      <c r="AA33" s="10">
        <f t="shared" si="9"/>
        <v>8974</v>
      </c>
      <c r="AB33" s="11">
        <f t="shared" si="10"/>
        <v>44727</v>
      </c>
    </row>
    <row r="34" spans="1:28" x14ac:dyDescent="0.25">
      <c r="A34" s="6" t="s">
        <v>14</v>
      </c>
      <c r="B34" s="6" t="s">
        <v>67</v>
      </c>
      <c r="C34" s="6" t="s">
        <v>26</v>
      </c>
      <c r="D34" s="6" t="s">
        <v>22</v>
      </c>
      <c r="E34" s="6" t="s">
        <v>23</v>
      </c>
      <c r="F34" s="7">
        <v>42304</v>
      </c>
      <c r="G34" s="8">
        <f t="shared" si="0"/>
        <v>2015</v>
      </c>
      <c r="H34" s="9">
        <v>158535134</v>
      </c>
      <c r="I34" s="7">
        <v>42333</v>
      </c>
      <c r="J34" s="10">
        <v>2924</v>
      </c>
      <c r="K34" s="9">
        <v>651.21</v>
      </c>
      <c r="L34" s="9">
        <v>524.96</v>
      </c>
      <c r="M34" s="11">
        <v>1904138.04</v>
      </c>
      <c r="N34" s="11">
        <v>1534983.04</v>
      </c>
      <c r="O34" s="11">
        <v>369155</v>
      </c>
      <c r="S34" s="25" t="s">
        <v>37</v>
      </c>
      <c r="T34" s="10">
        <f t="shared" si="11"/>
        <v>0</v>
      </c>
      <c r="U34" s="10">
        <f t="shared" si="3"/>
        <v>3856</v>
      </c>
      <c r="V34" s="10">
        <f t="shared" si="4"/>
        <v>14710</v>
      </c>
      <c r="W34" s="10">
        <f t="shared" si="5"/>
        <v>0</v>
      </c>
      <c r="X34" s="10">
        <f t="shared" si="6"/>
        <v>0</v>
      </c>
      <c r="Y34" s="10">
        <f t="shared" si="7"/>
        <v>0</v>
      </c>
      <c r="Z34" s="10">
        <f t="shared" si="8"/>
        <v>1485</v>
      </c>
      <c r="AA34" s="10">
        <f t="shared" si="9"/>
        <v>0</v>
      </c>
      <c r="AB34" s="11">
        <f t="shared" si="10"/>
        <v>20051</v>
      </c>
    </row>
    <row r="35" spans="1:28" x14ac:dyDescent="0.25">
      <c r="A35" s="6" t="s">
        <v>41</v>
      </c>
      <c r="B35" s="6" t="s">
        <v>68</v>
      </c>
      <c r="C35" s="6" t="s">
        <v>34</v>
      </c>
      <c r="D35" s="6" t="s">
        <v>17</v>
      </c>
      <c r="E35" s="6" t="s">
        <v>18</v>
      </c>
      <c r="F35" s="7">
        <v>42020</v>
      </c>
      <c r="G35" s="8">
        <f t="shared" si="0"/>
        <v>2015</v>
      </c>
      <c r="H35" s="9">
        <v>177713572</v>
      </c>
      <c r="I35" s="7">
        <v>42064</v>
      </c>
      <c r="J35" s="10">
        <v>8250</v>
      </c>
      <c r="K35" s="9">
        <v>668.27</v>
      </c>
      <c r="L35" s="9">
        <v>502.54</v>
      </c>
      <c r="M35" s="11">
        <v>5513227.5</v>
      </c>
      <c r="N35" s="11">
        <v>4145955</v>
      </c>
      <c r="O35" s="11">
        <v>1367272.5</v>
      </c>
      <c r="S35" s="25" t="s">
        <v>39</v>
      </c>
      <c r="T35" s="10">
        <f t="shared" si="11"/>
        <v>273</v>
      </c>
      <c r="U35" s="10">
        <f t="shared" si="3"/>
        <v>0</v>
      </c>
      <c r="V35" s="10">
        <f t="shared" si="4"/>
        <v>15078</v>
      </c>
      <c r="W35" s="10">
        <f t="shared" si="5"/>
        <v>2125</v>
      </c>
      <c r="X35" s="10">
        <f t="shared" si="6"/>
        <v>4901</v>
      </c>
      <c r="Y35" s="10">
        <f t="shared" si="7"/>
        <v>11837</v>
      </c>
      <c r="Z35" s="10">
        <f t="shared" si="8"/>
        <v>5070</v>
      </c>
      <c r="AA35" s="10">
        <f t="shared" si="9"/>
        <v>9424</v>
      </c>
      <c r="AB35" s="11">
        <f t="shared" si="10"/>
        <v>48708</v>
      </c>
    </row>
    <row r="36" spans="1:28" x14ac:dyDescent="0.25">
      <c r="A36" s="6" t="s">
        <v>28</v>
      </c>
      <c r="B36" s="6" t="s">
        <v>69</v>
      </c>
      <c r="C36" s="6" t="s">
        <v>58</v>
      </c>
      <c r="D36" s="6" t="s">
        <v>22</v>
      </c>
      <c r="E36" s="6" t="s">
        <v>35</v>
      </c>
      <c r="F36" s="7">
        <v>42791</v>
      </c>
      <c r="G36" s="8">
        <f t="shared" si="0"/>
        <v>2017</v>
      </c>
      <c r="H36" s="9">
        <v>756274640</v>
      </c>
      <c r="I36" s="7">
        <v>42791</v>
      </c>
      <c r="J36" s="10">
        <v>7327</v>
      </c>
      <c r="K36" s="9">
        <v>152.58000000000001</v>
      </c>
      <c r="L36" s="9">
        <v>97.44</v>
      </c>
      <c r="M36" s="11">
        <v>1117953.6599999999</v>
      </c>
      <c r="N36" s="11">
        <v>713942.88</v>
      </c>
      <c r="O36" s="11">
        <v>404010.78</v>
      </c>
      <c r="S36" s="25" t="s">
        <v>44</v>
      </c>
      <c r="T36" s="10">
        <f t="shared" si="11"/>
        <v>18290</v>
      </c>
      <c r="U36" s="10">
        <f t="shared" si="3"/>
        <v>888</v>
      </c>
      <c r="V36" s="10">
        <f t="shared" si="4"/>
        <v>13039</v>
      </c>
      <c r="W36" s="10">
        <f t="shared" si="5"/>
        <v>0</v>
      </c>
      <c r="X36" s="10">
        <f t="shared" si="6"/>
        <v>12010</v>
      </c>
      <c r="Y36" s="10">
        <f t="shared" si="7"/>
        <v>13272</v>
      </c>
      <c r="Z36" s="10">
        <f t="shared" si="8"/>
        <v>5498</v>
      </c>
      <c r="AA36" s="10">
        <f t="shared" si="9"/>
        <v>8263</v>
      </c>
      <c r="AB36" s="11">
        <f t="shared" si="10"/>
        <v>71260</v>
      </c>
    </row>
    <row r="37" spans="1:28" x14ac:dyDescent="0.25">
      <c r="A37" s="6" t="s">
        <v>19</v>
      </c>
      <c r="B37" s="6" t="s">
        <v>70</v>
      </c>
      <c r="C37" s="6" t="s">
        <v>39</v>
      </c>
      <c r="D37" s="6" t="s">
        <v>17</v>
      </c>
      <c r="E37" s="6" t="s">
        <v>27</v>
      </c>
      <c r="F37" s="7">
        <v>42863</v>
      </c>
      <c r="G37" s="8">
        <f t="shared" si="0"/>
        <v>2017</v>
      </c>
      <c r="H37" s="9">
        <v>456767165</v>
      </c>
      <c r="I37" s="7">
        <v>42876</v>
      </c>
      <c r="J37" s="10">
        <v>6409</v>
      </c>
      <c r="K37" s="9">
        <v>81.73</v>
      </c>
      <c r="L37" s="9">
        <v>56.67</v>
      </c>
      <c r="M37" s="11">
        <v>523807.57</v>
      </c>
      <c r="N37" s="11">
        <v>363198.03</v>
      </c>
      <c r="O37" s="11">
        <v>160609.54</v>
      </c>
      <c r="S37" s="25" t="s">
        <v>50</v>
      </c>
      <c r="T37" s="10">
        <f t="shared" si="11"/>
        <v>15144</v>
      </c>
      <c r="U37" s="10">
        <f t="shared" si="3"/>
        <v>0</v>
      </c>
      <c r="V37" s="10">
        <f t="shared" si="4"/>
        <v>8661</v>
      </c>
      <c r="W37" s="10">
        <f t="shared" si="5"/>
        <v>25728</v>
      </c>
      <c r="X37" s="10">
        <f t="shared" si="6"/>
        <v>7215</v>
      </c>
      <c r="Y37" s="10">
        <f t="shared" si="7"/>
        <v>2847</v>
      </c>
      <c r="Z37" s="10">
        <f t="shared" si="8"/>
        <v>22308</v>
      </c>
      <c r="AA37" s="10">
        <f t="shared" si="9"/>
        <v>1815</v>
      </c>
      <c r="AB37" s="11">
        <f t="shared" si="10"/>
        <v>83718</v>
      </c>
    </row>
    <row r="38" spans="1:28" x14ac:dyDescent="0.25">
      <c r="A38" s="6" t="s">
        <v>71</v>
      </c>
      <c r="B38" s="6" t="s">
        <v>72</v>
      </c>
      <c r="C38" s="6" t="s">
        <v>30</v>
      </c>
      <c r="D38" s="6" t="s">
        <v>22</v>
      </c>
      <c r="E38" s="6" t="s">
        <v>27</v>
      </c>
      <c r="F38" s="7">
        <v>40869</v>
      </c>
      <c r="G38" s="8">
        <f t="shared" si="0"/>
        <v>2011</v>
      </c>
      <c r="H38" s="9">
        <v>162052476</v>
      </c>
      <c r="I38" s="7">
        <v>40880</v>
      </c>
      <c r="J38" s="10">
        <v>3784</v>
      </c>
      <c r="K38" s="9">
        <v>9.33</v>
      </c>
      <c r="L38" s="9">
        <v>6.92</v>
      </c>
      <c r="M38" s="11">
        <v>35304.720000000001</v>
      </c>
      <c r="N38" s="11">
        <v>26185.279999999999</v>
      </c>
      <c r="O38" s="11">
        <v>9119.44</v>
      </c>
      <c r="S38" s="25" t="s">
        <v>52</v>
      </c>
      <c r="T38" s="10">
        <f t="shared" si="11"/>
        <v>0</v>
      </c>
      <c r="U38" s="10">
        <f t="shared" si="3"/>
        <v>22726</v>
      </c>
      <c r="V38" s="10">
        <f t="shared" si="4"/>
        <v>0</v>
      </c>
      <c r="W38" s="10">
        <f t="shared" si="5"/>
        <v>0</v>
      </c>
      <c r="X38" s="10">
        <f t="shared" si="6"/>
        <v>23892</v>
      </c>
      <c r="Y38" s="10">
        <f t="shared" si="7"/>
        <v>5430</v>
      </c>
      <c r="Z38" s="10">
        <f t="shared" si="8"/>
        <v>4660</v>
      </c>
      <c r="AA38" s="10">
        <f t="shared" si="9"/>
        <v>0</v>
      </c>
      <c r="AB38" s="11">
        <f t="shared" si="10"/>
        <v>56708</v>
      </c>
    </row>
    <row r="39" spans="1:28" x14ac:dyDescent="0.25">
      <c r="A39" s="6" t="s">
        <v>28</v>
      </c>
      <c r="B39" s="6" t="s">
        <v>64</v>
      </c>
      <c r="C39" s="6" t="s">
        <v>55</v>
      </c>
      <c r="D39" s="6" t="s">
        <v>22</v>
      </c>
      <c r="E39" s="6" t="s">
        <v>35</v>
      </c>
      <c r="F39" s="7">
        <v>42749</v>
      </c>
      <c r="G39" s="8">
        <f t="shared" si="0"/>
        <v>2017</v>
      </c>
      <c r="H39" s="9">
        <v>825304400</v>
      </c>
      <c r="I39" s="7">
        <v>42758</v>
      </c>
      <c r="J39" s="10">
        <v>4767</v>
      </c>
      <c r="K39" s="9">
        <v>421.89</v>
      </c>
      <c r="L39" s="9">
        <v>364.69</v>
      </c>
      <c r="M39" s="11">
        <v>2011149.63</v>
      </c>
      <c r="N39" s="11">
        <v>1738477.23</v>
      </c>
      <c r="O39" s="11">
        <v>272672.40000000002</v>
      </c>
      <c r="S39" s="25" t="s">
        <v>55</v>
      </c>
      <c r="T39" s="10">
        <f t="shared" si="11"/>
        <v>0</v>
      </c>
      <c r="U39" s="10">
        <f t="shared" si="3"/>
        <v>0</v>
      </c>
      <c r="V39" s="10">
        <f t="shared" si="4"/>
        <v>5908</v>
      </c>
      <c r="W39" s="10">
        <f t="shared" si="5"/>
        <v>0</v>
      </c>
      <c r="X39" s="10">
        <f t="shared" si="6"/>
        <v>0</v>
      </c>
      <c r="Y39" s="10">
        <f t="shared" si="7"/>
        <v>0</v>
      </c>
      <c r="Z39" s="10">
        <f t="shared" si="8"/>
        <v>0</v>
      </c>
      <c r="AA39" s="10">
        <f t="shared" si="9"/>
        <v>4767</v>
      </c>
      <c r="AB39" s="11">
        <f t="shared" si="10"/>
        <v>10675</v>
      </c>
    </row>
    <row r="40" spans="1:28" x14ac:dyDescent="0.25">
      <c r="A40" s="6" t="s">
        <v>41</v>
      </c>
      <c r="B40" s="6" t="s">
        <v>73</v>
      </c>
      <c r="C40" s="6" t="s">
        <v>26</v>
      </c>
      <c r="D40" s="6" t="s">
        <v>22</v>
      </c>
      <c r="E40" s="6" t="s">
        <v>27</v>
      </c>
      <c r="F40" s="7">
        <v>41000</v>
      </c>
      <c r="G40" s="8">
        <f t="shared" si="0"/>
        <v>2012</v>
      </c>
      <c r="H40" s="9">
        <v>320009267</v>
      </c>
      <c r="I40" s="7">
        <v>41037</v>
      </c>
      <c r="J40" s="10">
        <v>6708</v>
      </c>
      <c r="K40" s="9">
        <v>651.21</v>
      </c>
      <c r="L40" s="9">
        <v>524.96</v>
      </c>
      <c r="M40" s="11">
        <v>4368316.68</v>
      </c>
      <c r="N40" s="11">
        <v>3521431.68</v>
      </c>
      <c r="O40" s="11">
        <v>846885</v>
      </c>
      <c r="S40" s="25" t="s">
        <v>58</v>
      </c>
      <c r="T40" s="10">
        <f t="shared" si="11"/>
        <v>0</v>
      </c>
      <c r="U40" s="10">
        <f t="shared" si="3"/>
        <v>4085</v>
      </c>
      <c r="V40" s="10">
        <f t="shared" si="4"/>
        <v>0</v>
      </c>
      <c r="W40" s="10">
        <f t="shared" si="5"/>
        <v>0</v>
      </c>
      <c r="X40" s="10">
        <f t="shared" si="6"/>
        <v>0</v>
      </c>
      <c r="Y40" s="10">
        <f t="shared" si="7"/>
        <v>0</v>
      </c>
      <c r="Z40" s="10">
        <f t="shared" si="8"/>
        <v>2225</v>
      </c>
      <c r="AA40" s="10">
        <f t="shared" si="9"/>
        <v>7327</v>
      </c>
      <c r="AB40" s="11">
        <f t="shared" si="10"/>
        <v>13637</v>
      </c>
    </row>
    <row r="41" spans="1:28" x14ac:dyDescent="0.25">
      <c r="A41" s="6" t="s">
        <v>24</v>
      </c>
      <c r="B41" s="6" t="s">
        <v>48</v>
      </c>
      <c r="C41" s="6" t="s">
        <v>26</v>
      </c>
      <c r="D41" s="6" t="s">
        <v>22</v>
      </c>
      <c r="E41" s="6" t="s">
        <v>35</v>
      </c>
      <c r="F41" s="7">
        <v>40955</v>
      </c>
      <c r="G41" s="8">
        <f t="shared" si="0"/>
        <v>2012</v>
      </c>
      <c r="H41" s="9">
        <v>189965903</v>
      </c>
      <c r="I41" s="7">
        <v>40967</v>
      </c>
      <c r="J41" s="10">
        <v>3987</v>
      </c>
      <c r="K41" s="9">
        <v>651.21</v>
      </c>
      <c r="L41" s="9">
        <v>524.96</v>
      </c>
      <c r="M41" s="11">
        <v>2596374.27</v>
      </c>
      <c r="N41" s="11">
        <v>2093015.52</v>
      </c>
      <c r="O41" s="11">
        <v>503358.75</v>
      </c>
      <c r="S41" s="22" t="s">
        <v>145</v>
      </c>
      <c r="T41" s="16">
        <f>SUM(T29:T40)</f>
        <v>61571</v>
      </c>
      <c r="U41" s="16">
        <f t="shared" ref="U41:AA41" si="12">SUM(U29:U40)</f>
        <v>54768</v>
      </c>
      <c r="V41" s="16">
        <f t="shared" si="12"/>
        <v>97967</v>
      </c>
      <c r="W41" s="16">
        <f t="shared" si="12"/>
        <v>64663</v>
      </c>
      <c r="X41" s="16">
        <f t="shared" si="12"/>
        <v>92040</v>
      </c>
      <c r="Y41" s="16">
        <f t="shared" si="12"/>
        <v>49480</v>
      </c>
      <c r="Z41" s="16">
        <f t="shared" si="12"/>
        <v>43156</v>
      </c>
      <c r="AA41" s="16">
        <f t="shared" si="12"/>
        <v>49226</v>
      </c>
      <c r="AB41" s="39">
        <f>SUM(AB29:AB40)</f>
        <v>512871</v>
      </c>
    </row>
    <row r="42" spans="1:28" x14ac:dyDescent="0.25">
      <c r="A42" s="6" t="s">
        <v>28</v>
      </c>
      <c r="B42" s="6" t="s">
        <v>74</v>
      </c>
      <c r="C42" s="6" t="s">
        <v>39</v>
      </c>
      <c r="D42" s="6" t="s">
        <v>22</v>
      </c>
      <c r="E42" s="6" t="s">
        <v>18</v>
      </c>
      <c r="F42" s="7">
        <v>42805</v>
      </c>
      <c r="G42" s="8">
        <f t="shared" si="0"/>
        <v>2017</v>
      </c>
      <c r="H42" s="9">
        <v>699285638</v>
      </c>
      <c r="I42" s="7">
        <v>42822</v>
      </c>
      <c r="J42" s="10">
        <v>3015</v>
      </c>
      <c r="K42" s="9">
        <v>81.73</v>
      </c>
      <c r="L42" s="9">
        <v>56.67</v>
      </c>
      <c r="M42" s="11">
        <v>246415.95</v>
      </c>
      <c r="N42" s="11">
        <v>170860.05</v>
      </c>
      <c r="O42" s="11">
        <v>75555.899999999994</v>
      </c>
    </row>
    <row r="43" spans="1:28" x14ac:dyDescent="0.25">
      <c r="A43" s="6" t="s">
        <v>71</v>
      </c>
      <c r="B43" s="6" t="s">
        <v>75</v>
      </c>
      <c r="C43" s="6" t="s">
        <v>50</v>
      </c>
      <c r="D43" s="6" t="s">
        <v>22</v>
      </c>
      <c r="E43" s="6" t="s">
        <v>35</v>
      </c>
      <c r="F43" s="7">
        <v>40215</v>
      </c>
      <c r="G43" s="8">
        <f t="shared" si="0"/>
        <v>2010</v>
      </c>
      <c r="H43" s="9">
        <v>382392299</v>
      </c>
      <c r="I43" s="7">
        <v>40234</v>
      </c>
      <c r="J43" s="10">
        <v>7234</v>
      </c>
      <c r="K43" s="9">
        <v>437.2</v>
      </c>
      <c r="L43" s="9">
        <v>263.33</v>
      </c>
      <c r="M43" s="11">
        <v>3162704.8</v>
      </c>
      <c r="N43" s="11">
        <v>1904929.22</v>
      </c>
      <c r="O43" s="11">
        <v>1257775.58</v>
      </c>
      <c r="S43" s="43" t="s">
        <v>136</v>
      </c>
      <c r="T43" s="43"/>
      <c r="U43" s="43"/>
    </row>
    <row r="44" spans="1:28" x14ac:dyDescent="0.25">
      <c r="A44" s="6" t="s">
        <v>28</v>
      </c>
      <c r="B44" s="6" t="s">
        <v>64</v>
      </c>
      <c r="C44" s="6" t="s">
        <v>21</v>
      </c>
      <c r="D44" s="6" t="s">
        <v>17</v>
      </c>
      <c r="E44" s="6" t="s">
        <v>18</v>
      </c>
      <c r="F44" s="7">
        <v>41067</v>
      </c>
      <c r="G44" s="8">
        <f t="shared" si="0"/>
        <v>2012</v>
      </c>
      <c r="H44" s="9">
        <v>994022214</v>
      </c>
      <c r="I44" s="7">
        <v>41068</v>
      </c>
      <c r="J44" s="10">
        <v>2117</v>
      </c>
      <c r="K44" s="9">
        <v>205.7</v>
      </c>
      <c r="L44" s="9">
        <v>117.11</v>
      </c>
      <c r="M44" s="11">
        <v>435466.9</v>
      </c>
      <c r="N44" s="11">
        <v>247921.87</v>
      </c>
      <c r="O44" s="11">
        <v>187545.03</v>
      </c>
      <c r="S44" s="12" t="s">
        <v>124</v>
      </c>
      <c r="T44" s="19" t="s">
        <v>126</v>
      </c>
      <c r="U44" s="19" t="s">
        <v>128</v>
      </c>
    </row>
    <row r="45" spans="1:28" x14ac:dyDescent="0.25">
      <c r="A45" s="6" t="s">
        <v>24</v>
      </c>
      <c r="B45" s="6" t="s">
        <v>76</v>
      </c>
      <c r="C45" s="6" t="s">
        <v>37</v>
      </c>
      <c r="D45" s="6" t="s">
        <v>22</v>
      </c>
      <c r="E45" s="6" t="s">
        <v>18</v>
      </c>
      <c r="F45" s="7">
        <v>41188</v>
      </c>
      <c r="G45" s="8">
        <f t="shared" si="0"/>
        <v>2012</v>
      </c>
      <c r="H45" s="9">
        <v>759224212</v>
      </c>
      <c r="I45" s="7">
        <v>41223</v>
      </c>
      <c r="J45" s="10">
        <v>171</v>
      </c>
      <c r="K45" s="9">
        <v>154.06</v>
      </c>
      <c r="L45" s="9">
        <v>90.93</v>
      </c>
      <c r="M45" s="11">
        <v>26344.26</v>
      </c>
      <c r="N45" s="11">
        <v>15549.03</v>
      </c>
      <c r="O45" s="11">
        <v>10795.23</v>
      </c>
      <c r="S45" s="6" t="s">
        <v>41</v>
      </c>
      <c r="T45" s="11">
        <f>SUMIF($A$2:$A$101,S45,$M$2:$M$101)</f>
        <v>21347091.020000003</v>
      </c>
      <c r="U45" s="23">
        <f>(T45/$T$52)*100</f>
        <v>15.542251512455522</v>
      </c>
    </row>
    <row r="46" spans="1:28" x14ac:dyDescent="0.25">
      <c r="A46" s="6" t="s">
        <v>41</v>
      </c>
      <c r="B46" s="6" t="s">
        <v>68</v>
      </c>
      <c r="C46" s="6" t="s">
        <v>44</v>
      </c>
      <c r="D46" s="6" t="s">
        <v>22</v>
      </c>
      <c r="E46" s="6" t="s">
        <v>18</v>
      </c>
      <c r="F46" s="7">
        <v>42322</v>
      </c>
      <c r="G46" s="8">
        <f t="shared" si="0"/>
        <v>2015</v>
      </c>
      <c r="H46" s="9">
        <v>223359620</v>
      </c>
      <c r="I46" s="7">
        <v>42326</v>
      </c>
      <c r="J46" s="10">
        <v>5930</v>
      </c>
      <c r="K46" s="9">
        <v>109.28</v>
      </c>
      <c r="L46" s="9">
        <v>35.840000000000003</v>
      </c>
      <c r="M46" s="11">
        <v>648030.4</v>
      </c>
      <c r="N46" s="11">
        <v>212531.20000000001</v>
      </c>
      <c r="O46" s="11">
        <v>435499.2</v>
      </c>
      <c r="S46" s="6" t="s">
        <v>14</v>
      </c>
      <c r="T46" s="11">
        <f t="shared" ref="T46:T51" si="13">SUMIF($A$2:$A$101,S46,$M$2:$M$101)</f>
        <v>14094265.130000003</v>
      </c>
      <c r="U46" s="23">
        <f t="shared" ref="U46:U51" si="14">(T46/$T$52)*100</f>
        <v>10.261661100730699</v>
      </c>
    </row>
    <row r="47" spans="1:28" x14ac:dyDescent="0.25">
      <c r="A47" s="6" t="s">
        <v>28</v>
      </c>
      <c r="B47" s="6" t="s">
        <v>77</v>
      </c>
      <c r="C47" s="6" t="s">
        <v>21</v>
      </c>
      <c r="D47" s="6" t="s">
        <v>17</v>
      </c>
      <c r="E47" s="6" t="s">
        <v>18</v>
      </c>
      <c r="F47" s="7">
        <v>42458</v>
      </c>
      <c r="G47" s="8">
        <f t="shared" si="0"/>
        <v>2016</v>
      </c>
      <c r="H47" s="9">
        <v>902102267</v>
      </c>
      <c r="I47" s="7">
        <v>42489</v>
      </c>
      <c r="J47" s="10">
        <v>962</v>
      </c>
      <c r="K47" s="9">
        <v>205.7</v>
      </c>
      <c r="L47" s="9">
        <v>117.11</v>
      </c>
      <c r="M47" s="11">
        <v>197883.4</v>
      </c>
      <c r="N47" s="11">
        <v>112659.82</v>
      </c>
      <c r="O47" s="11">
        <v>85223.58</v>
      </c>
      <c r="S47" s="6" t="s">
        <v>19</v>
      </c>
      <c r="T47" s="11">
        <f t="shared" si="13"/>
        <v>9170385.4900000002</v>
      </c>
      <c r="U47" s="23">
        <f t="shared" si="14"/>
        <v>6.6767147625977863</v>
      </c>
    </row>
    <row r="48" spans="1:28" x14ac:dyDescent="0.25">
      <c r="A48" s="6" t="s">
        <v>24</v>
      </c>
      <c r="B48" s="6" t="s">
        <v>78</v>
      </c>
      <c r="C48" s="6" t="s">
        <v>50</v>
      </c>
      <c r="D48" s="6" t="s">
        <v>22</v>
      </c>
      <c r="E48" s="6" t="s">
        <v>23</v>
      </c>
      <c r="F48" s="7">
        <v>42735</v>
      </c>
      <c r="G48" s="8">
        <f t="shared" si="0"/>
        <v>2016</v>
      </c>
      <c r="H48" s="9">
        <v>331438481</v>
      </c>
      <c r="I48" s="7">
        <v>42735</v>
      </c>
      <c r="J48" s="10">
        <v>8867</v>
      </c>
      <c r="K48" s="9">
        <v>437.2</v>
      </c>
      <c r="L48" s="9">
        <v>263.33</v>
      </c>
      <c r="M48" s="11">
        <v>3876652.4</v>
      </c>
      <c r="N48" s="11">
        <v>2334947.11</v>
      </c>
      <c r="O48" s="11">
        <v>1541705.29</v>
      </c>
      <c r="S48" s="6" t="s">
        <v>24</v>
      </c>
      <c r="T48" s="11">
        <f t="shared" si="13"/>
        <v>33368932.109999999</v>
      </c>
      <c r="U48" s="23">
        <f t="shared" si="14"/>
        <v>24.295035565725197</v>
      </c>
    </row>
    <row r="49" spans="1:22" x14ac:dyDescent="0.25">
      <c r="A49" s="6" t="s">
        <v>24</v>
      </c>
      <c r="B49" s="6" t="s">
        <v>65</v>
      </c>
      <c r="C49" s="6" t="s">
        <v>39</v>
      </c>
      <c r="D49" s="6" t="s">
        <v>22</v>
      </c>
      <c r="E49" s="6" t="s">
        <v>35</v>
      </c>
      <c r="F49" s="7">
        <v>40535</v>
      </c>
      <c r="G49" s="8">
        <f t="shared" si="0"/>
        <v>2010</v>
      </c>
      <c r="H49" s="9">
        <v>617667090</v>
      </c>
      <c r="I49" s="7">
        <v>40574</v>
      </c>
      <c r="J49" s="10">
        <v>273</v>
      </c>
      <c r="K49" s="9">
        <v>81.73</v>
      </c>
      <c r="L49" s="9">
        <v>56.67</v>
      </c>
      <c r="M49" s="11">
        <v>22312.29</v>
      </c>
      <c r="N49" s="11">
        <v>15470.91</v>
      </c>
      <c r="O49" s="11">
        <v>6841.38</v>
      </c>
      <c r="S49" s="6" t="s">
        <v>71</v>
      </c>
      <c r="T49" s="11">
        <f t="shared" si="13"/>
        <v>14052706.58</v>
      </c>
      <c r="U49" s="23">
        <f t="shared" si="14"/>
        <v>10.231403421312558</v>
      </c>
    </row>
    <row r="50" spans="1:22" x14ac:dyDescent="0.25">
      <c r="A50" s="6" t="s">
        <v>24</v>
      </c>
      <c r="B50" s="6" t="s">
        <v>79</v>
      </c>
      <c r="C50" s="6" t="s">
        <v>44</v>
      </c>
      <c r="D50" s="6" t="s">
        <v>17</v>
      </c>
      <c r="E50" s="6" t="s">
        <v>23</v>
      </c>
      <c r="F50" s="7">
        <v>41926</v>
      </c>
      <c r="G50" s="8">
        <f t="shared" si="0"/>
        <v>2014</v>
      </c>
      <c r="H50" s="9">
        <v>787399423</v>
      </c>
      <c r="I50" s="7">
        <v>41957</v>
      </c>
      <c r="J50" s="10">
        <v>7842</v>
      </c>
      <c r="K50" s="9">
        <v>109.28</v>
      </c>
      <c r="L50" s="9">
        <v>35.840000000000003</v>
      </c>
      <c r="M50" s="11">
        <v>856973.76</v>
      </c>
      <c r="N50" s="11">
        <v>281057.28000000003</v>
      </c>
      <c r="O50" s="11">
        <v>575916.48</v>
      </c>
      <c r="S50" s="6" t="s">
        <v>98</v>
      </c>
      <c r="T50" s="11">
        <f t="shared" si="13"/>
        <v>5643356.5500000007</v>
      </c>
      <c r="U50" s="23">
        <f t="shared" si="14"/>
        <v>4.1087784182110658</v>
      </c>
    </row>
    <row r="51" spans="1:22" x14ac:dyDescent="0.25">
      <c r="A51" s="6" t="s">
        <v>28</v>
      </c>
      <c r="B51" s="6" t="s">
        <v>80</v>
      </c>
      <c r="C51" s="6" t="s">
        <v>26</v>
      </c>
      <c r="D51" s="6" t="s">
        <v>17</v>
      </c>
      <c r="E51" s="6" t="s">
        <v>23</v>
      </c>
      <c r="F51" s="7">
        <v>40919</v>
      </c>
      <c r="G51" s="8">
        <f t="shared" si="0"/>
        <v>2012</v>
      </c>
      <c r="H51" s="9">
        <v>837559306</v>
      </c>
      <c r="I51" s="7">
        <v>40921</v>
      </c>
      <c r="J51" s="10">
        <v>1266</v>
      </c>
      <c r="K51" s="9">
        <v>651.21</v>
      </c>
      <c r="L51" s="9">
        <v>524.96</v>
      </c>
      <c r="M51" s="11">
        <v>824431.86</v>
      </c>
      <c r="N51" s="11">
        <v>664599.36</v>
      </c>
      <c r="O51" s="11">
        <v>159832.5</v>
      </c>
      <c r="S51" s="6" t="s">
        <v>28</v>
      </c>
      <c r="T51" s="11">
        <f t="shared" si="13"/>
        <v>39672031.430000007</v>
      </c>
      <c r="U51" s="23">
        <f t="shared" si="14"/>
        <v>28.884155218967184</v>
      </c>
    </row>
    <row r="52" spans="1:22" x14ac:dyDescent="0.25">
      <c r="A52" s="6" t="s">
        <v>24</v>
      </c>
      <c r="B52" s="6" t="s">
        <v>81</v>
      </c>
      <c r="C52" s="6" t="s">
        <v>44</v>
      </c>
      <c r="D52" s="6" t="s">
        <v>22</v>
      </c>
      <c r="E52" s="6" t="s">
        <v>23</v>
      </c>
      <c r="F52" s="7">
        <v>40211</v>
      </c>
      <c r="G52" s="8">
        <f t="shared" si="0"/>
        <v>2010</v>
      </c>
      <c r="H52" s="9">
        <v>385383069</v>
      </c>
      <c r="I52" s="7">
        <v>40255</v>
      </c>
      <c r="J52" s="10">
        <v>2269</v>
      </c>
      <c r="K52" s="9">
        <v>109.28</v>
      </c>
      <c r="L52" s="9">
        <v>35.840000000000003</v>
      </c>
      <c r="M52" s="11">
        <v>247956.32</v>
      </c>
      <c r="N52" s="11">
        <v>81320.960000000006</v>
      </c>
      <c r="O52" s="11">
        <v>166635.35999999999</v>
      </c>
      <c r="S52" s="12" t="s">
        <v>127</v>
      </c>
      <c r="T52" s="17">
        <f>SUM(T45:T51)</f>
        <v>137348768.31</v>
      </c>
      <c r="U52" s="24">
        <f>SUM(U45:U51)</f>
        <v>100.00000000000001</v>
      </c>
    </row>
    <row r="53" spans="1:22" x14ac:dyDescent="0.25">
      <c r="A53" s="6" t="s">
        <v>28</v>
      </c>
      <c r="B53" s="6" t="s">
        <v>82</v>
      </c>
      <c r="C53" s="6" t="s">
        <v>30</v>
      </c>
      <c r="D53" s="6" t="s">
        <v>22</v>
      </c>
      <c r="E53" s="6" t="s">
        <v>27</v>
      </c>
      <c r="F53" s="7">
        <v>41504</v>
      </c>
      <c r="G53" s="8">
        <f t="shared" si="0"/>
        <v>2013</v>
      </c>
      <c r="H53" s="9">
        <v>918419539</v>
      </c>
      <c r="I53" s="7">
        <v>41535</v>
      </c>
      <c r="J53" s="10">
        <v>9606</v>
      </c>
      <c r="K53" s="9">
        <v>9.33</v>
      </c>
      <c r="L53" s="9">
        <v>6.92</v>
      </c>
      <c r="M53" s="11">
        <v>89623.98</v>
      </c>
      <c r="N53" s="11">
        <v>66473.52</v>
      </c>
      <c r="O53" s="11">
        <v>23150.46</v>
      </c>
    </row>
    <row r="54" spans="1:22" x14ac:dyDescent="0.25">
      <c r="A54" s="6" t="s">
        <v>71</v>
      </c>
      <c r="B54" s="6" t="s">
        <v>83</v>
      </c>
      <c r="C54" s="6" t="s">
        <v>21</v>
      </c>
      <c r="D54" s="6" t="s">
        <v>22</v>
      </c>
      <c r="E54" s="6" t="s">
        <v>35</v>
      </c>
      <c r="F54" s="7">
        <v>41358</v>
      </c>
      <c r="G54" s="8">
        <f t="shared" si="0"/>
        <v>2013</v>
      </c>
      <c r="H54" s="9">
        <v>844530045</v>
      </c>
      <c r="I54" s="7">
        <v>41361</v>
      </c>
      <c r="J54" s="10">
        <v>4063</v>
      </c>
      <c r="K54" s="9">
        <v>205.7</v>
      </c>
      <c r="L54" s="9">
        <v>117.11</v>
      </c>
      <c r="M54" s="11">
        <v>835759.1</v>
      </c>
      <c r="N54" s="11">
        <v>475817.93</v>
      </c>
      <c r="O54" s="11">
        <v>359941.17</v>
      </c>
      <c r="S54" s="42" t="s">
        <v>132</v>
      </c>
      <c r="T54" s="42"/>
      <c r="U54" s="42"/>
      <c r="V54" s="42"/>
    </row>
    <row r="55" spans="1:22" x14ac:dyDescent="0.25">
      <c r="A55" s="6" t="s">
        <v>28</v>
      </c>
      <c r="B55" s="6" t="s">
        <v>84</v>
      </c>
      <c r="C55" s="6" t="s">
        <v>26</v>
      </c>
      <c r="D55" s="6" t="s">
        <v>17</v>
      </c>
      <c r="E55" s="6" t="s">
        <v>35</v>
      </c>
      <c r="F55" s="7">
        <v>40873</v>
      </c>
      <c r="G55" s="8">
        <f t="shared" si="0"/>
        <v>2011</v>
      </c>
      <c r="H55" s="9">
        <v>441888415</v>
      </c>
      <c r="I55" s="7">
        <v>40915</v>
      </c>
      <c r="J55" s="10">
        <v>3457</v>
      </c>
      <c r="K55" s="9">
        <v>651.21</v>
      </c>
      <c r="L55" s="9">
        <v>524.96</v>
      </c>
      <c r="M55" s="11">
        <v>2251232.9700000002</v>
      </c>
      <c r="N55" s="11">
        <v>1814786.72</v>
      </c>
      <c r="O55" s="11">
        <v>436446.25</v>
      </c>
      <c r="S55" s="12" t="s">
        <v>2</v>
      </c>
      <c r="T55" s="19" t="s">
        <v>11</v>
      </c>
      <c r="U55" s="19" t="s">
        <v>13</v>
      </c>
      <c r="V55" s="19" t="s">
        <v>137</v>
      </c>
    </row>
    <row r="56" spans="1:22" x14ac:dyDescent="0.25">
      <c r="A56" s="6" t="s">
        <v>28</v>
      </c>
      <c r="B56" s="6" t="s">
        <v>29</v>
      </c>
      <c r="C56" s="6" t="s">
        <v>30</v>
      </c>
      <c r="D56" s="6" t="s">
        <v>17</v>
      </c>
      <c r="E56" s="6" t="s">
        <v>18</v>
      </c>
      <c r="F56" s="7">
        <v>41534</v>
      </c>
      <c r="G56" s="8">
        <f t="shared" si="0"/>
        <v>2013</v>
      </c>
      <c r="H56" s="9">
        <v>508980977</v>
      </c>
      <c r="I56" s="7">
        <v>41571</v>
      </c>
      <c r="J56" s="10">
        <v>7637</v>
      </c>
      <c r="K56" s="9">
        <v>9.33</v>
      </c>
      <c r="L56" s="9">
        <v>6.92</v>
      </c>
      <c r="M56" s="11">
        <v>71253.210000000006</v>
      </c>
      <c r="N56" s="11">
        <v>52848.04</v>
      </c>
      <c r="O56" s="11">
        <v>18405.169999999998</v>
      </c>
      <c r="S56" s="25" t="s">
        <v>16</v>
      </c>
      <c r="T56" s="11">
        <f>SUMIF($C$2:$C$101,S56,$M$2:$M$101)</f>
        <v>10350327.6</v>
      </c>
      <c r="U56" s="11">
        <f>SUMIF($C$2:$C$101,S56,$O$2:$O$101)</f>
        <v>3886643.7</v>
      </c>
      <c r="V56" s="31">
        <f>(U56/T56)*100</f>
        <v>37.550924475086184</v>
      </c>
    </row>
    <row r="57" spans="1:22" x14ac:dyDescent="0.25">
      <c r="A57" s="6" t="s">
        <v>28</v>
      </c>
      <c r="B57" s="6" t="s">
        <v>85</v>
      </c>
      <c r="C57" s="6" t="s">
        <v>44</v>
      </c>
      <c r="D57" s="6" t="s">
        <v>22</v>
      </c>
      <c r="E57" s="6" t="s">
        <v>23</v>
      </c>
      <c r="F57" s="7">
        <v>41068</v>
      </c>
      <c r="G57" s="8">
        <f t="shared" si="0"/>
        <v>2012</v>
      </c>
      <c r="H57" s="9">
        <v>114606559</v>
      </c>
      <c r="I57" s="7">
        <v>41087</v>
      </c>
      <c r="J57" s="10">
        <v>3482</v>
      </c>
      <c r="K57" s="9">
        <v>109.28</v>
      </c>
      <c r="L57" s="9">
        <v>35.840000000000003</v>
      </c>
      <c r="M57" s="11">
        <v>380512.96</v>
      </c>
      <c r="N57" s="11">
        <v>124794.88</v>
      </c>
      <c r="O57" s="11">
        <v>255718.08</v>
      </c>
      <c r="S57" s="25" t="s">
        <v>21</v>
      </c>
      <c r="T57" s="11">
        <f t="shared" ref="T57:T67" si="15">SUMIF($C$2:$C$101,S57,$M$2:$M$101)</f>
        <v>5322898.9000000004</v>
      </c>
      <c r="U57" s="11">
        <f t="shared" ref="U57:U67" si="16">SUMIF($C$2:$C$101,S57,$O$2:$O$101)</f>
        <v>2292443.4299999997</v>
      </c>
      <c r="V57" s="31">
        <f t="shared" ref="V57:V67" si="17">(U57/T57)*100</f>
        <v>43.067574137092848</v>
      </c>
    </row>
    <row r="58" spans="1:22" x14ac:dyDescent="0.25">
      <c r="A58" s="6" t="s">
        <v>14</v>
      </c>
      <c r="B58" s="6" t="s">
        <v>86</v>
      </c>
      <c r="C58" s="6" t="s">
        <v>44</v>
      </c>
      <c r="D58" s="6" t="s">
        <v>17</v>
      </c>
      <c r="E58" s="6" t="s">
        <v>23</v>
      </c>
      <c r="F58" s="7">
        <v>40359</v>
      </c>
      <c r="G58" s="8">
        <f t="shared" si="0"/>
        <v>2010</v>
      </c>
      <c r="H58" s="9">
        <v>647876489</v>
      </c>
      <c r="I58" s="7">
        <v>40391</v>
      </c>
      <c r="J58" s="10">
        <v>9905</v>
      </c>
      <c r="K58" s="9">
        <v>109.28</v>
      </c>
      <c r="L58" s="9">
        <v>35.840000000000003</v>
      </c>
      <c r="M58" s="11">
        <v>1082418.3999999999</v>
      </c>
      <c r="N58" s="11">
        <v>354995.20000000001</v>
      </c>
      <c r="O58" s="11">
        <v>727423.2</v>
      </c>
      <c r="S58" s="25" t="s">
        <v>26</v>
      </c>
      <c r="T58" s="11">
        <f t="shared" si="15"/>
        <v>30585380.07</v>
      </c>
      <c r="U58" s="11">
        <f t="shared" si="16"/>
        <v>5929583.75</v>
      </c>
      <c r="V58" s="31">
        <f t="shared" si="17"/>
        <v>19.386987300563565</v>
      </c>
    </row>
    <row r="59" spans="1:22" x14ac:dyDescent="0.25">
      <c r="A59" s="6" t="s">
        <v>24</v>
      </c>
      <c r="B59" s="6" t="s">
        <v>87</v>
      </c>
      <c r="C59" s="6" t="s">
        <v>50</v>
      </c>
      <c r="D59" s="6" t="s">
        <v>17</v>
      </c>
      <c r="E59" s="6" t="s">
        <v>18</v>
      </c>
      <c r="F59" s="7">
        <v>42058</v>
      </c>
      <c r="G59" s="8">
        <f t="shared" si="0"/>
        <v>2015</v>
      </c>
      <c r="H59" s="9">
        <v>868214595</v>
      </c>
      <c r="I59" s="7">
        <v>42065</v>
      </c>
      <c r="J59" s="10">
        <v>2847</v>
      </c>
      <c r="K59" s="9">
        <v>437.2</v>
      </c>
      <c r="L59" s="9">
        <v>263.33</v>
      </c>
      <c r="M59" s="11">
        <v>1244708.3999999999</v>
      </c>
      <c r="N59" s="11">
        <v>749700.51</v>
      </c>
      <c r="O59" s="11">
        <v>495007.89</v>
      </c>
      <c r="S59" s="25" t="s">
        <v>30</v>
      </c>
      <c r="T59" s="11">
        <f t="shared" si="15"/>
        <v>466481.34</v>
      </c>
      <c r="U59" s="11">
        <f t="shared" si="16"/>
        <v>120495.18</v>
      </c>
      <c r="V59" s="31">
        <f t="shared" si="17"/>
        <v>25.830653804930332</v>
      </c>
    </row>
    <row r="60" spans="1:22" x14ac:dyDescent="0.25">
      <c r="A60" s="6" t="s">
        <v>24</v>
      </c>
      <c r="B60" s="6" t="s">
        <v>88</v>
      </c>
      <c r="C60" s="6" t="s">
        <v>34</v>
      </c>
      <c r="D60" s="6" t="s">
        <v>22</v>
      </c>
      <c r="E60" s="6" t="s">
        <v>27</v>
      </c>
      <c r="F60" s="7">
        <v>40913</v>
      </c>
      <c r="G60" s="8">
        <f t="shared" si="0"/>
        <v>2012</v>
      </c>
      <c r="H60" s="9">
        <v>955357205</v>
      </c>
      <c r="I60" s="7">
        <v>40953</v>
      </c>
      <c r="J60" s="10">
        <v>282</v>
      </c>
      <c r="K60" s="9">
        <v>668.27</v>
      </c>
      <c r="L60" s="9">
        <v>502.54</v>
      </c>
      <c r="M60" s="11">
        <v>188452.14</v>
      </c>
      <c r="N60" s="11">
        <v>141716.28</v>
      </c>
      <c r="O60" s="11">
        <v>46735.86</v>
      </c>
      <c r="S60" s="25" t="s">
        <v>34</v>
      </c>
      <c r="T60" s="11">
        <f t="shared" si="15"/>
        <v>29889712.289999995</v>
      </c>
      <c r="U60" s="11">
        <f t="shared" si="16"/>
        <v>7412605.7100000009</v>
      </c>
      <c r="V60" s="31">
        <f t="shared" si="17"/>
        <v>24.799856345489104</v>
      </c>
    </row>
    <row r="61" spans="1:22" x14ac:dyDescent="0.25">
      <c r="A61" s="6" t="s">
        <v>28</v>
      </c>
      <c r="B61" s="6" t="s">
        <v>69</v>
      </c>
      <c r="C61" s="6" t="s">
        <v>50</v>
      </c>
      <c r="D61" s="6" t="s">
        <v>17</v>
      </c>
      <c r="E61" s="6" t="s">
        <v>18</v>
      </c>
      <c r="F61" s="7">
        <v>41736</v>
      </c>
      <c r="G61" s="8">
        <f t="shared" si="0"/>
        <v>2014</v>
      </c>
      <c r="H61" s="9">
        <v>259353148</v>
      </c>
      <c r="I61" s="7">
        <v>41748</v>
      </c>
      <c r="J61" s="10">
        <v>7215</v>
      </c>
      <c r="K61" s="9">
        <v>437.2</v>
      </c>
      <c r="L61" s="9">
        <v>263.33</v>
      </c>
      <c r="M61" s="11">
        <v>3154398</v>
      </c>
      <c r="N61" s="11">
        <v>1899925.95</v>
      </c>
      <c r="O61" s="11">
        <v>1254472.05</v>
      </c>
      <c r="S61" s="25" t="s">
        <v>37</v>
      </c>
      <c r="T61" s="11">
        <f t="shared" si="15"/>
        <v>3089057.06</v>
      </c>
      <c r="U61" s="11">
        <f t="shared" si="16"/>
        <v>1265819.6300000001</v>
      </c>
      <c r="V61" s="31">
        <f t="shared" si="17"/>
        <v>40.97754121770739</v>
      </c>
    </row>
    <row r="62" spans="1:22" x14ac:dyDescent="0.25">
      <c r="A62" s="6" t="s">
        <v>14</v>
      </c>
      <c r="B62" s="6" t="s">
        <v>67</v>
      </c>
      <c r="C62" s="6" t="s">
        <v>21</v>
      </c>
      <c r="D62" s="6" t="s">
        <v>17</v>
      </c>
      <c r="E62" s="6" t="s">
        <v>18</v>
      </c>
      <c r="F62" s="7">
        <v>41434</v>
      </c>
      <c r="G62" s="8">
        <f t="shared" si="0"/>
        <v>2013</v>
      </c>
      <c r="H62" s="9">
        <v>450563752</v>
      </c>
      <c r="I62" s="7">
        <v>41457</v>
      </c>
      <c r="J62" s="10">
        <v>682</v>
      </c>
      <c r="K62" s="9">
        <v>205.7</v>
      </c>
      <c r="L62" s="9">
        <v>117.11</v>
      </c>
      <c r="M62" s="11">
        <v>140287.4</v>
      </c>
      <c r="N62" s="11">
        <v>79869.02</v>
      </c>
      <c r="O62" s="11">
        <v>60418.38</v>
      </c>
      <c r="S62" s="25" t="s">
        <v>39</v>
      </c>
      <c r="T62" s="11">
        <f t="shared" si="15"/>
        <v>3980904.8400000003</v>
      </c>
      <c r="U62" s="11">
        <f t="shared" si="16"/>
        <v>1220622.48</v>
      </c>
      <c r="V62" s="31">
        <f t="shared" si="17"/>
        <v>30.661935641747213</v>
      </c>
    </row>
    <row r="63" spans="1:22" x14ac:dyDescent="0.25">
      <c r="A63" s="6" t="s">
        <v>24</v>
      </c>
      <c r="B63" s="6" t="s">
        <v>89</v>
      </c>
      <c r="C63" s="6" t="s">
        <v>16</v>
      </c>
      <c r="D63" s="6" t="s">
        <v>22</v>
      </c>
      <c r="E63" s="6" t="s">
        <v>27</v>
      </c>
      <c r="F63" s="7">
        <v>41451</v>
      </c>
      <c r="G63" s="8">
        <f t="shared" si="0"/>
        <v>2013</v>
      </c>
      <c r="H63" s="9">
        <v>569662845</v>
      </c>
      <c r="I63" s="7">
        <v>41456</v>
      </c>
      <c r="J63" s="10">
        <v>4750</v>
      </c>
      <c r="K63" s="9">
        <v>255.28</v>
      </c>
      <c r="L63" s="9">
        <v>159.41999999999999</v>
      </c>
      <c r="M63" s="11">
        <v>1212580</v>
      </c>
      <c r="N63" s="11">
        <v>757245</v>
      </c>
      <c r="O63" s="11">
        <v>455335</v>
      </c>
      <c r="S63" s="25" t="s">
        <v>44</v>
      </c>
      <c r="T63" s="11">
        <f t="shared" si="15"/>
        <v>7787292.799999998</v>
      </c>
      <c r="U63" s="11">
        <f t="shared" si="16"/>
        <v>5233334.4000000004</v>
      </c>
      <c r="V63" s="31">
        <f t="shared" si="17"/>
        <v>67.203513909224029</v>
      </c>
    </row>
    <row r="64" spans="1:22" x14ac:dyDescent="0.25">
      <c r="A64" s="6" t="s">
        <v>28</v>
      </c>
      <c r="B64" s="6" t="s">
        <v>51</v>
      </c>
      <c r="C64" s="6" t="s">
        <v>26</v>
      </c>
      <c r="D64" s="6" t="s">
        <v>22</v>
      </c>
      <c r="E64" s="6" t="s">
        <v>35</v>
      </c>
      <c r="F64" s="7">
        <v>40854</v>
      </c>
      <c r="G64" s="8">
        <f t="shared" si="0"/>
        <v>2011</v>
      </c>
      <c r="H64" s="9">
        <v>177636754</v>
      </c>
      <c r="I64" s="7">
        <v>40862</v>
      </c>
      <c r="J64" s="10">
        <v>5518</v>
      </c>
      <c r="K64" s="9">
        <v>651.21</v>
      </c>
      <c r="L64" s="9">
        <v>524.96</v>
      </c>
      <c r="M64" s="11">
        <v>3593376.78</v>
      </c>
      <c r="N64" s="11">
        <v>2896729.28</v>
      </c>
      <c r="O64" s="11">
        <v>696647.5</v>
      </c>
      <c r="S64" s="25" t="s">
        <v>50</v>
      </c>
      <c r="T64" s="11">
        <f t="shared" si="15"/>
        <v>36601509.600000001</v>
      </c>
      <c r="U64" s="11">
        <f t="shared" si="16"/>
        <v>14556048.66</v>
      </c>
      <c r="V64" s="31">
        <f t="shared" si="17"/>
        <v>39.768984446477582</v>
      </c>
    </row>
    <row r="65" spans="1:22" x14ac:dyDescent="0.25">
      <c r="A65" s="6" t="s">
        <v>71</v>
      </c>
      <c r="B65" s="6" t="s">
        <v>90</v>
      </c>
      <c r="C65" s="6" t="s">
        <v>44</v>
      </c>
      <c r="D65" s="6" t="s">
        <v>17</v>
      </c>
      <c r="E65" s="6" t="s">
        <v>18</v>
      </c>
      <c r="F65" s="7">
        <v>40481</v>
      </c>
      <c r="G65" s="8">
        <f t="shared" si="0"/>
        <v>2010</v>
      </c>
      <c r="H65" s="9">
        <v>705784308</v>
      </c>
      <c r="I65" s="7">
        <v>40499</v>
      </c>
      <c r="J65" s="10">
        <v>6116</v>
      </c>
      <c r="K65" s="9">
        <v>109.28</v>
      </c>
      <c r="L65" s="9">
        <v>35.840000000000003</v>
      </c>
      <c r="M65" s="11">
        <v>668356.48</v>
      </c>
      <c r="N65" s="11">
        <v>219197.44</v>
      </c>
      <c r="O65" s="11">
        <v>449159.04</v>
      </c>
      <c r="S65" s="25" t="s">
        <v>52</v>
      </c>
      <c r="T65" s="11">
        <f t="shared" si="15"/>
        <v>2690794.6</v>
      </c>
      <c r="U65" s="11">
        <f t="shared" si="16"/>
        <v>888047.27999999991</v>
      </c>
      <c r="V65" s="31">
        <f t="shared" si="17"/>
        <v>33.003161222339301</v>
      </c>
    </row>
    <row r="66" spans="1:22" x14ac:dyDescent="0.25">
      <c r="A66" s="6" t="s">
        <v>19</v>
      </c>
      <c r="B66" s="6" t="s">
        <v>91</v>
      </c>
      <c r="C66" s="6" t="s">
        <v>50</v>
      </c>
      <c r="D66" s="6" t="s">
        <v>17</v>
      </c>
      <c r="E66" s="6" t="s">
        <v>18</v>
      </c>
      <c r="F66" s="7">
        <v>41560</v>
      </c>
      <c r="G66" s="8">
        <f t="shared" si="0"/>
        <v>2013</v>
      </c>
      <c r="H66" s="9">
        <v>505716836</v>
      </c>
      <c r="I66" s="7">
        <v>41594</v>
      </c>
      <c r="J66" s="10">
        <v>1705</v>
      </c>
      <c r="K66" s="9">
        <v>437.2</v>
      </c>
      <c r="L66" s="9">
        <v>263.33</v>
      </c>
      <c r="M66" s="11">
        <v>745426</v>
      </c>
      <c r="N66" s="11">
        <v>448977.65</v>
      </c>
      <c r="O66" s="11">
        <v>296448.34999999998</v>
      </c>
      <c r="S66" s="25" t="s">
        <v>55</v>
      </c>
      <c r="T66" s="11">
        <f t="shared" si="15"/>
        <v>4503675.75</v>
      </c>
      <c r="U66" s="11">
        <f t="shared" si="16"/>
        <v>610610</v>
      </c>
      <c r="V66" s="31">
        <f t="shared" si="17"/>
        <v>13.558036455000119</v>
      </c>
    </row>
    <row r="67" spans="1:22" x14ac:dyDescent="0.25">
      <c r="A67" s="6" t="s">
        <v>28</v>
      </c>
      <c r="B67" s="6" t="s">
        <v>31</v>
      </c>
      <c r="C67" s="6" t="s">
        <v>50</v>
      </c>
      <c r="D67" s="6" t="s">
        <v>17</v>
      </c>
      <c r="E67" s="6" t="s">
        <v>18</v>
      </c>
      <c r="F67" s="7">
        <v>41558</v>
      </c>
      <c r="G67" s="8">
        <f t="shared" si="0"/>
        <v>2013</v>
      </c>
      <c r="H67" s="9">
        <v>699358165</v>
      </c>
      <c r="I67" s="7">
        <v>41603</v>
      </c>
      <c r="J67" s="10">
        <v>4477</v>
      </c>
      <c r="K67" s="9">
        <v>437.2</v>
      </c>
      <c r="L67" s="9">
        <v>263.33</v>
      </c>
      <c r="M67" s="11">
        <v>1957344.4</v>
      </c>
      <c r="N67" s="11">
        <v>1178928.4099999999</v>
      </c>
      <c r="O67" s="11">
        <v>778415.99</v>
      </c>
      <c r="S67" s="25" t="s">
        <v>58</v>
      </c>
      <c r="T67" s="11">
        <f t="shared" si="15"/>
        <v>2080733.46</v>
      </c>
      <c r="U67" s="11">
        <f t="shared" si="16"/>
        <v>751944.18</v>
      </c>
      <c r="V67" s="31">
        <f t="shared" si="17"/>
        <v>36.138419189933153</v>
      </c>
    </row>
    <row r="68" spans="1:22" x14ac:dyDescent="0.25">
      <c r="A68" s="6" t="s">
        <v>28</v>
      </c>
      <c r="B68" s="6" t="s">
        <v>92</v>
      </c>
      <c r="C68" s="6" t="s">
        <v>39</v>
      </c>
      <c r="D68" s="6" t="s">
        <v>17</v>
      </c>
      <c r="E68" s="6" t="s">
        <v>27</v>
      </c>
      <c r="F68" s="7">
        <v>41098</v>
      </c>
      <c r="G68" s="8">
        <f t="shared" si="0"/>
        <v>2012</v>
      </c>
      <c r="H68" s="9">
        <v>228944623</v>
      </c>
      <c r="I68" s="7">
        <v>41099</v>
      </c>
      <c r="J68" s="10">
        <v>8656</v>
      </c>
      <c r="K68" s="9">
        <v>81.73</v>
      </c>
      <c r="L68" s="9">
        <v>56.67</v>
      </c>
      <c r="M68" s="11">
        <v>707454.88</v>
      </c>
      <c r="N68" s="11">
        <v>490535.52</v>
      </c>
      <c r="O68" s="11">
        <v>216919.36</v>
      </c>
      <c r="S68" s="12" t="s">
        <v>127</v>
      </c>
      <c r="T68" s="17">
        <f>SUM(T56:T67)</f>
        <v>137348768.31</v>
      </c>
      <c r="U68" s="17">
        <f>SUM(U56:U67)</f>
        <v>44168198.399999999</v>
      </c>
      <c r="V68" s="32">
        <f>(U68/T68)*100</f>
        <v>32.157695291676106</v>
      </c>
    </row>
    <row r="69" spans="1:22" x14ac:dyDescent="0.25">
      <c r="A69" s="6" t="s">
        <v>19</v>
      </c>
      <c r="B69" s="6" t="s">
        <v>93</v>
      </c>
      <c r="C69" s="6" t="s">
        <v>44</v>
      </c>
      <c r="D69" s="6" t="s">
        <v>17</v>
      </c>
      <c r="E69" s="6" t="s">
        <v>35</v>
      </c>
      <c r="F69" s="7">
        <v>42576</v>
      </c>
      <c r="G69" s="8">
        <f t="shared" ref="G69:G101" si="18">YEAR(F69)</f>
        <v>2016</v>
      </c>
      <c r="H69" s="9">
        <v>807025039</v>
      </c>
      <c r="I69" s="7">
        <v>42620</v>
      </c>
      <c r="J69" s="10">
        <v>5498</v>
      </c>
      <c r="K69" s="9">
        <v>109.28</v>
      </c>
      <c r="L69" s="9">
        <v>35.840000000000003</v>
      </c>
      <c r="M69" s="11">
        <v>600821.43999999994</v>
      </c>
      <c r="N69" s="11">
        <v>197048.32000000001</v>
      </c>
      <c r="O69" s="11">
        <v>403773.12</v>
      </c>
    </row>
    <row r="70" spans="1:22" x14ac:dyDescent="0.25">
      <c r="A70" s="6" t="s">
        <v>24</v>
      </c>
      <c r="B70" s="6" t="s">
        <v>94</v>
      </c>
      <c r="C70" s="6" t="s">
        <v>26</v>
      </c>
      <c r="D70" s="6" t="s">
        <v>17</v>
      </c>
      <c r="E70" s="6" t="s">
        <v>18</v>
      </c>
      <c r="F70" s="7">
        <v>40475</v>
      </c>
      <c r="G70" s="8">
        <f t="shared" si="18"/>
        <v>2010</v>
      </c>
      <c r="H70" s="9">
        <v>166460740</v>
      </c>
      <c r="I70" s="7">
        <v>40499</v>
      </c>
      <c r="J70" s="10">
        <v>8287</v>
      </c>
      <c r="K70" s="9">
        <v>651.21</v>
      </c>
      <c r="L70" s="9">
        <v>524.96</v>
      </c>
      <c r="M70" s="11">
        <v>5396577.2699999996</v>
      </c>
      <c r="N70" s="11">
        <v>4350343.5199999996</v>
      </c>
      <c r="O70" s="11">
        <v>1046233.75</v>
      </c>
      <c r="S70" s="43" t="s">
        <v>139</v>
      </c>
      <c r="T70" s="43"/>
    </row>
    <row r="71" spans="1:22" x14ac:dyDescent="0.25">
      <c r="A71" s="6" t="s">
        <v>28</v>
      </c>
      <c r="B71" s="6" t="s">
        <v>95</v>
      </c>
      <c r="C71" s="6" t="s">
        <v>44</v>
      </c>
      <c r="D71" s="6" t="s">
        <v>17</v>
      </c>
      <c r="E71" s="6" t="s">
        <v>27</v>
      </c>
      <c r="F71" s="7">
        <v>42119</v>
      </c>
      <c r="G71" s="8">
        <f t="shared" si="18"/>
        <v>2015</v>
      </c>
      <c r="H71" s="9">
        <v>610425555</v>
      </c>
      <c r="I71" s="7">
        <v>42152</v>
      </c>
      <c r="J71" s="10">
        <v>7342</v>
      </c>
      <c r="K71" s="9">
        <v>109.28</v>
      </c>
      <c r="L71" s="9">
        <v>35.840000000000003</v>
      </c>
      <c r="M71" s="11">
        <v>802333.76</v>
      </c>
      <c r="N71" s="11">
        <v>263137.28000000003</v>
      </c>
      <c r="O71" s="11">
        <v>539196.48</v>
      </c>
      <c r="S71" s="12" t="s">
        <v>115</v>
      </c>
      <c r="T71" s="12" t="s">
        <v>131</v>
      </c>
    </row>
    <row r="72" spans="1:22" x14ac:dyDescent="0.25">
      <c r="A72" s="6" t="s">
        <v>41</v>
      </c>
      <c r="B72" s="6" t="s">
        <v>53</v>
      </c>
      <c r="C72" s="6" t="s">
        <v>26</v>
      </c>
      <c r="D72" s="6" t="s">
        <v>22</v>
      </c>
      <c r="E72" s="6" t="s">
        <v>35</v>
      </c>
      <c r="F72" s="7">
        <v>41387</v>
      </c>
      <c r="G72" s="8">
        <f t="shared" si="18"/>
        <v>2013</v>
      </c>
      <c r="H72" s="9">
        <v>462405812</v>
      </c>
      <c r="I72" s="7">
        <v>41414</v>
      </c>
      <c r="J72" s="10">
        <v>5010</v>
      </c>
      <c r="K72" s="9">
        <v>651.21</v>
      </c>
      <c r="L72" s="9">
        <v>524.96</v>
      </c>
      <c r="M72" s="11">
        <v>3262562.1</v>
      </c>
      <c r="N72" s="11">
        <v>2630049.6</v>
      </c>
      <c r="O72" s="11">
        <v>632512.5</v>
      </c>
      <c r="S72" s="8">
        <v>2010</v>
      </c>
      <c r="T72" s="11">
        <f>AVERAGEIF($G$2:$G$101,S72,$O$2:$O$101)</f>
        <v>662956.74300000002</v>
      </c>
    </row>
    <row r="73" spans="1:22" x14ac:dyDescent="0.25">
      <c r="A73" s="6" t="s">
        <v>71</v>
      </c>
      <c r="B73" s="6" t="s">
        <v>90</v>
      </c>
      <c r="C73" s="6" t="s">
        <v>30</v>
      </c>
      <c r="D73" s="6" t="s">
        <v>22</v>
      </c>
      <c r="E73" s="6" t="s">
        <v>27</v>
      </c>
      <c r="F73" s="7">
        <v>42230</v>
      </c>
      <c r="G73" s="8">
        <f t="shared" si="18"/>
        <v>2015</v>
      </c>
      <c r="H73" s="9">
        <v>816200339</v>
      </c>
      <c r="I73" s="7">
        <v>42277</v>
      </c>
      <c r="J73" s="10">
        <v>673</v>
      </c>
      <c r="K73" s="9">
        <v>9.33</v>
      </c>
      <c r="L73" s="9">
        <v>6.92</v>
      </c>
      <c r="M73" s="11">
        <v>6279.09</v>
      </c>
      <c r="N73" s="11">
        <v>4657.16</v>
      </c>
      <c r="O73" s="11">
        <v>1621.93</v>
      </c>
      <c r="S73" s="8">
        <v>2011</v>
      </c>
      <c r="T73" s="11">
        <f t="shared" ref="T73:T79" si="19">AVERAGEIF($G$2:$G$101,S73,$O$2:$O$101)</f>
        <v>228417.35250000004</v>
      </c>
    </row>
    <row r="74" spans="1:22" x14ac:dyDescent="0.25">
      <c r="A74" s="6" t="s">
        <v>28</v>
      </c>
      <c r="B74" s="6" t="s">
        <v>96</v>
      </c>
      <c r="C74" s="6" t="s">
        <v>52</v>
      </c>
      <c r="D74" s="6" t="s">
        <v>22</v>
      </c>
      <c r="E74" s="6" t="s">
        <v>23</v>
      </c>
      <c r="F74" s="7">
        <v>40689</v>
      </c>
      <c r="G74" s="8">
        <f t="shared" si="18"/>
        <v>2011</v>
      </c>
      <c r="H74" s="9">
        <v>585920464</v>
      </c>
      <c r="I74" s="7">
        <v>40739</v>
      </c>
      <c r="J74" s="10">
        <v>5741</v>
      </c>
      <c r="K74" s="9">
        <v>47.45</v>
      </c>
      <c r="L74" s="9">
        <v>31.79</v>
      </c>
      <c r="M74" s="11">
        <v>272410.45</v>
      </c>
      <c r="N74" s="11">
        <v>182506.39</v>
      </c>
      <c r="O74" s="11">
        <v>89904.06</v>
      </c>
      <c r="S74" s="8">
        <v>2012</v>
      </c>
      <c r="T74" s="11">
        <f t="shared" si="19"/>
        <v>418773.18727272731</v>
      </c>
    </row>
    <row r="75" spans="1:22" x14ac:dyDescent="0.25">
      <c r="A75" s="6" t="s">
        <v>28</v>
      </c>
      <c r="B75" s="6" t="s">
        <v>69</v>
      </c>
      <c r="C75" s="6" t="s">
        <v>21</v>
      </c>
      <c r="D75" s="6" t="s">
        <v>22</v>
      </c>
      <c r="E75" s="6" t="s">
        <v>18</v>
      </c>
      <c r="F75" s="7">
        <v>42875</v>
      </c>
      <c r="G75" s="8">
        <f t="shared" si="18"/>
        <v>2017</v>
      </c>
      <c r="H75" s="9">
        <v>555990016</v>
      </c>
      <c r="I75" s="7">
        <v>42903</v>
      </c>
      <c r="J75" s="10">
        <v>8656</v>
      </c>
      <c r="K75" s="9">
        <v>205.7</v>
      </c>
      <c r="L75" s="9">
        <v>117.11</v>
      </c>
      <c r="M75" s="11">
        <v>1780539.2</v>
      </c>
      <c r="N75" s="11">
        <v>1013704.16</v>
      </c>
      <c r="O75" s="11">
        <v>766835.04</v>
      </c>
      <c r="S75" s="8">
        <v>2013</v>
      </c>
      <c r="T75" s="11">
        <f t="shared" si="19"/>
        <v>559618.33666666655</v>
      </c>
    </row>
    <row r="76" spans="1:22" x14ac:dyDescent="0.25">
      <c r="A76" s="6" t="s">
        <v>71</v>
      </c>
      <c r="B76" s="6" t="s">
        <v>97</v>
      </c>
      <c r="C76" s="6" t="s">
        <v>50</v>
      </c>
      <c r="D76" s="6" t="s">
        <v>17</v>
      </c>
      <c r="E76" s="6" t="s">
        <v>27</v>
      </c>
      <c r="F76" s="7">
        <v>41460</v>
      </c>
      <c r="G76" s="8">
        <f t="shared" si="18"/>
        <v>2013</v>
      </c>
      <c r="H76" s="9">
        <v>231145322</v>
      </c>
      <c r="I76" s="7">
        <v>41502</v>
      </c>
      <c r="J76" s="10">
        <v>9892</v>
      </c>
      <c r="K76" s="9">
        <v>437.2</v>
      </c>
      <c r="L76" s="9">
        <v>263.33</v>
      </c>
      <c r="M76" s="11">
        <v>4324782.4000000004</v>
      </c>
      <c r="N76" s="11">
        <v>2604860.36</v>
      </c>
      <c r="O76" s="11">
        <v>1719922.04</v>
      </c>
      <c r="S76" s="8">
        <v>2014</v>
      </c>
      <c r="T76" s="11">
        <f t="shared" si="19"/>
        <v>391964.11199999996</v>
      </c>
    </row>
    <row r="77" spans="1:22" x14ac:dyDescent="0.25">
      <c r="A77" s="6" t="s">
        <v>98</v>
      </c>
      <c r="B77" s="6" t="s">
        <v>99</v>
      </c>
      <c r="C77" s="6" t="s">
        <v>34</v>
      </c>
      <c r="D77" s="6" t="s">
        <v>17</v>
      </c>
      <c r="E77" s="6" t="s">
        <v>23</v>
      </c>
      <c r="F77" s="7">
        <v>41949</v>
      </c>
      <c r="G77" s="8">
        <f t="shared" si="18"/>
        <v>2014</v>
      </c>
      <c r="H77" s="9">
        <v>986435210</v>
      </c>
      <c r="I77" s="7">
        <v>41985</v>
      </c>
      <c r="J77" s="10">
        <v>6954</v>
      </c>
      <c r="K77" s="9">
        <v>668.27</v>
      </c>
      <c r="L77" s="9">
        <v>502.54</v>
      </c>
      <c r="M77" s="11">
        <v>4647149.58</v>
      </c>
      <c r="N77" s="11">
        <v>3494663.16</v>
      </c>
      <c r="O77" s="11">
        <v>1152486.42</v>
      </c>
      <c r="S77" s="8">
        <v>2015</v>
      </c>
      <c r="T77" s="11">
        <f t="shared" si="19"/>
        <v>363321.76727272733</v>
      </c>
    </row>
    <row r="78" spans="1:22" x14ac:dyDescent="0.25">
      <c r="A78" s="6" t="s">
        <v>14</v>
      </c>
      <c r="B78" s="6" t="s">
        <v>100</v>
      </c>
      <c r="C78" s="6" t="s">
        <v>52</v>
      </c>
      <c r="D78" s="6" t="s">
        <v>22</v>
      </c>
      <c r="E78" s="6" t="s">
        <v>23</v>
      </c>
      <c r="F78" s="7">
        <v>41940</v>
      </c>
      <c r="G78" s="8">
        <f t="shared" si="18"/>
        <v>2014</v>
      </c>
      <c r="H78" s="9">
        <v>217221009</v>
      </c>
      <c r="I78" s="7">
        <v>41958</v>
      </c>
      <c r="J78" s="10">
        <v>9379</v>
      </c>
      <c r="K78" s="9">
        <v>47.45</v>
      </c>
      <c r="L78" s="9">
        <v>31.79</v>
      </c>
      <c r="M78" s="11">
        <v>445033.55</v>
      </c>
      <c r="N78" s="11">
        <v>298158.40999999997</v>
      </c>
      <c r="O78" s="11">
        <v>146875.14000000001</v>
      </c>
      <c r="S78" s="8">
        <v>2016</v>
      </c>
      <c r="T78" s="11">
        <f t="shared" si="19"/>
        <v>490383.80099999998</v>
      </c>
    </row>
    <row r="79" spans="1:22" x14ac:dyDescent="0.25">
      <c r="A79" s="6" t="s">
        <v>41</v>
      </c>
      <c r="B79" s="6" t="s">
        <v>101</v>
      </c>
      <c r="C79" s="6" t="s">
        <v>37</v>
      </c>
      <c r="D79" s="6" t="s">
        <v>17</v>
      </c>
      <c r="E79" s="6" t="s">
        <v>23</v>
      </c>
      <c r="F79" s="7">
        <v>40801</v>
      </c>
      <c r="G79" s="8">
        <f t="shared" si="18"/>
        <v>2011</v>
      </c>
      <c r="H79" s="9">
        <v>789176547</v>
      </c>
      <c r="I79" s="7">
        <v>40839</v>
      </c>
      <c r="J79" s="10">
        <v>3732</v>
      </c>
      <c r="K79" s="9">
        <v>154.06</v>
      </c>
      <c r="L79" s="9">
        <v>90.93</v>
      </c>
      <c r="M79" s="11">
        <v>574951.92000000004</v>
      </c>
      <c r="N79" s="11">
        <v>339350.76</v>
      </c>
      <c r="O79" s="11">
        <v>235601.16</v>
      </c>
      <c r="S79" s="8">
        <v>2017</v>
      </c>
      <c r="T79" s="11">
        <f t="shared" si="19"/>
        <v>511169.18125000002</v>
      </c>
    </row>
    <row r="80" spans="1:22" x14ac:dyDescent="0.25">
      <c r="A80" s="6" t="s">
        <v>24</v>
      </c>
      <c r="B80" s="6" t="s">
        <v>102</v>
      </c>
      <c r="C80" s="6" t="s">
        <v>16</v>
      </c>
      <c r="D80" s="6" t="s">
        <v>17</v>
      </c>
      <c r="E80" s="6" t="s">
        <v>18</v>
      </c>
      <c r="F80" s="7">
        <v>41058</v>
      </c>
      <c r="G80" s="8">
        <f t="shared" si="18"/>
        <v>2012</v>
      </c>
      <c r="H80" s="9">
        <v>688288152</v>
      </c>
      <c r="I80" s="7">
        <v>41062</v>
      </c>
      <c r="J80" s="10">
        <v>8614</v>
      </c>
      <c r="K80" s="9">
        <v>255.28</v>
      </c>
      <c r="L80" s="9">
        <v>159.41999999999999</v>
      </c>
      <c r="M80" s="11">
        <v>2198981.92</v>
      </c>
      <c r="N80" s="11">
        <v>1373243.88</v>
      </c>
      <c r="O80" s="11">
        <v>825738.04</v>
      </c>
    </row>
    <row r="81" spans="1:23" x14ac:dyDescent="0.25">
      <c r="A81" s="6" t="s">
        <v>14</v>
      </c>
      <c r="B81" s="6" t="s">
        <v>103</v>
      </c>
      <c r="C81" s="6" t="s">
        <v>50</v>
      </c>
      <c r="D81" s="6" t="s">
        <v>22</v>
      </c>
      <c r="E81" s="6" t="s">
        <v>18</v>
      </c>
      <c r="F81" s="7">
        <v>41475</v>
      </c>
      <c r="G81" s="8">
        <f t="shared" si="18"/>
        <v>2013</v>
      </c>
      <c r="H81" s="9">
        <v>670854651</v>
      </c>
      <c r="I81" s="7">
        <v>41493</v>
      </c>
      <c r="J81" s="10">
        <v>9654</v>
      </c>
      <c r="K81" s="9">
        <v>437.2</v>
      </c>
      <c r="L81" s="9">
        <v>263.33</v>
      </c>
      <c r="M81" s="11">
        <v>4220728.8</v>
      </c>
      <c r="N81" s="11">
        <v>2542187.8199999998</v>
      </c>
      <c r="O81" s="11">
        <v>1678540.98</v>
      </c>
      <c r="S81" s="42" t="s">
        <v>140</v>
      </c>
      <c r="T81" s="42"/>
      <c r="U81" s="42" t="s">
        <v>141</v>
      </c>
      <c r="V81" s="42"/>
      <c r="W81" s="42"/>
    </row>
    <row r="82" spans="1:23" x14ac:dyDescent="0.25">
      <c r="A82" s="6" t="s">
        <v>24</v>
      </c>
      <c r="B82" s="6" t="s">
        <v>104</v>
      </c>
      <c r="C82" s="6" t="s">
        <v>34</v>
      </c>
      <c r="D82" s="6" t="s">
        <v>17</v>
      </c>
      <c r="E82" s="6" t="s">
        <v>27</v>
      </c>
      <c r="F82" s="7">
        <v>41203</v>
      </c>
      <c r="G82" s="8">
        <f t="shared" si="18"/>
        <v>2012</v>
      </c>
      <c r="H82" s="9">
        <v>213487374</v>
      </c>
      <c r="I82" s="7">
        <v>41243</v>
      </c>
      <c r="J82" s="10">
        <v>4513</v>
      </c>
      <c r="K82" s="9">
        <v>668.27</v>
      </c>
      <c r="L82" s="9">
        <v>502.54</v>
      </c>
      <c r="M82" s="11">
        <v>3015902.51</v>
      </c>
      <c r="N82" s="11">
        <v>2267963.02</v>
      </c>
      <c r="O82" s="11">
        <v>747939.49</v>
      </c>
      <c r="S82" s="12" t="s">
        <v>1</v>
      </c>
      <c r="T82" s="19" t="s">
        <v>126</v>
      </c>
      <c r="U82" s="12" t="s">
        <v>129</v>
      </c>
      <c r="V82" s="12" t="s">
        <v>1</v>
      </c>
      <c r="W82" s="19" t="s">
        <v>126</v>
      </c>
    </row>
    <row r="83" spans="1:23" x14ac:dyDescent="0.25">
      <c r="A83" s="6" t="s">
        <v>71</v>
      </c>
      <c r="B83" s="6" t="s">
        <v>105</v>
      </c>
      <c r="C83" s="6" t="s">
        <v>44</v>
      </c>
      <c r="D83" s="6" t="s">
        <v>22</v>
      </c>
      <c r="E83" s="6" t="s">
        <v>27</v>
      </c>
      <c r="F83" s="7">
        <v>41170</v>
      </c>
      <c r="G83" s="8">
        <f t="shared" si="18"/>
        <v>2012</v>
      </c>
      <c r="H83" s="9">
        <v>663110148</v>
      </c>
      <c r="I83" s="7">
        <v>41190</v>
      </c>
      <c r="J83" s="10">
        <v>7884</v>
      </c>
      <c r="K83" s="9">
        <v>109.28</v>
      </c>
      <c r="L83" s="9">
        <v>35.840000000000003</v>
      </c>
      <c r="M83" s="11">
        <v>861563.52</v>
      </c>
      <c r="N83" s="11">
        <v>282562.56</v>
      </c>
      <c r="O83" s="11">
        <v>579000.96</v>
      </c>
      <c r="S83" s="6" t="s">
        <v>81</v>
      </c>
      <c r="T83" s="11">
        <f>SUMIF($B$2:$B$101,S83,$M$2:$M$101)</f>
        <v>247956.32</v>
      </c>
      <c r="U83" s="26">
        <v>1</v>
      </c>
      <c r="V83" s="6" t="str">
        <f>INDEX($S$83:$S$158, MATCH(LARGE($T$83:$T$158, $U83), $T$83:$T$158, 0))</f>
        <v>Honduras</v>
      </c>
      <c r="W83" s="11">
        <f>LARGE($T$83:$T$158,U83)</f>
        <v>6336545.4800000004</v>
      </c>
    </row>
    <row r="84" spans="1:23" x14ac:dyDescent="0.25">
      <c r="A84" s="6" t="s">
        <v>71</v>
      </c>
      <c r="B84" s="6" t="s">
        <v>106</v>
      </c>
      <c r="C84" s="6" t="s">
        <v>50</v>
      </c>
      <c r="D84" s="6" t="s">
        <v>22</v>
      </c>
      <c r="E84" s="6" t="s">
        <v>18</v>
      </c>
      <c r="F84" s="7">
        <v>42689</v>
      </c>
      <c r="G84" s="8">
        <f t="shared" si="18"/>
        <v>2016</v>
      </c>
      <c r="H84" s="9">
        <v>286959302</v>
      </c>
      <c r="I84" s="7">
        <v>42712</v>
      </c>
      <c r="J84" s="10">
        <v>6489</v>
      </c>
      <c r="K84" s="9">
        <v>437.2</v>
      </c>
      <c r="L84" s="9">
        <v>263.33</v>
      </c>
      <c r="M84" s="11">
        <v>2836990.8</v>
      </c>
      <c r="N84" s="11">
        <v>1708748.37</v>
      </c>
      <c r="O84" s="11">
        <v>1128242.43</v>
      </c>
      <c r="S84" s="6" t="s">
        <v>33</v>
      </c>
      <c r="T84" s="11">
        <f t="shared" ref="T84:T147" si="20">SUMIF($B$2:$B$101,S84,$M$2:$M$101)</f>
        <v>2798046.49</v>
      </c>
      <c r="U84" s="26">
        <v>2</v>
      </c>
      <c r="V84" s="6" t="str">
        <f t="shared" ref="V84:V86" si="21">INDEX($S$83:$S$158, MATCH(LARGE($T$83:$T$158, $U84), $T$83:$T$158, 0))</f>
        <v>Myanmar</v>
      </c>
      <c r="W84" s="11">
        <f t="shared" ref="W84:W86" si="22">LARGE($T$83:$T$158,U84)</f>
        <v>6161257.9000000004</v>
      </c>
    </row>
    <row r="85" spans="1:23" x14ac:dyDescent="0.25">
      <c r="A85" s="6" t="s">
        <v>28</v>
      </c>
      <c r="B85" s="6" t="s">
        <v>107</v>
      </c>
      <c r="C85" s="6" t="s">
        <v>58</v>
      </c>
      <c r="D85" s="6" t="s">
        <v>22</v>
      </c>
      <c r="E85" s="6" t="s">
        <v>27</v>
      </c>
      <c r="F85" s="7">
        <v>40547</v>
      </c>
      <c r="G85" s="8">
        <f t="shared" si="18"/>
        <v>2011</v>
      </c>
      <c r="H85" s="9">
        <v>122583663</v>
      </c>
      <c r="I85" s="7">
        <v>40548</v>
      </c>
      <c r="J85" s="10">
        <v>4085</v>
      </c>
      <c r="K85" s="9">
        <v>152.58000000000001</v>
      </c>
      <c r="L85" s="9">
        <v>97.44</v>
      </c>
      <c r="M85" s="11">
        <v>623289.30000000005</v>
      </c>
      <c r="N85" s="11">
        <v>398042.4</v>
      </c>
      <c r="O85" s="11">
        <v>225246.9</v>
      </c>
      <c r="S85" s="6" t="s">
        <v>67</v>
      </c>
      <c r="T85" s="11">
        <f t="shared" si="20"/>
        <v>2489933.4899999998</v>
      </c>
      <c r="U85" s="26">
        <v>3</v>
      </c>
      <c r="V85" s="6" t="str">
        <f t="shared" si="21"/>
        <v>Djibouti</v>
      </c>
      <c r="W85" s="11">
        <f t="shared" si="22"/>
        <v>6052890.8600000003</v>
      </c>
    </row>
    <row r="86" spans="1:23" x14ac:dyDescent="0.25">
      <c r="A86" s="6" t="s">
        <v>28</v>
      </c>
      <c r="B86" s="6" t="s">
        <v>108</v>
      </c>
      <c r="C86" s="6" t="s">
        <v>37</v>
      </c>
      <c r="D86" s="6" t="s">
        <v>22</v>
      </c>
      <c r="E86" s="6" t="s">
        <v>27</v>
      </c>
      <c r="F86" s="7">
        <v>40986</v>
      </c>
      <c r="G86" s="8">
        <f t="shared" si="18"/>
        <v>2012</v>
      </c>
      <c r="H86" s="9">
        <v>827844560</v>
      </c>
      <c r="I86" s="7">
        <v>41006</v>
      </c>
      <c r="J86" s="10">
        <v>6457</v>
      </c>
      <c r="K86" s="9">
        <v>154.06</v>
      </c>
      <c r="L86" s="9">
        <v>90.93</v>
      </c>
      <c r="M86" s="11">
        <v>994765.42</v>
      </c>
      <c r="N86" s="11">
        <v>587135.01</v>
      </c>
      <c r="O86" s="11">
        <v>407630.41</v>
      </c>
      <c r="S86" s="6" t="s">
        <v>87</v>
      </c>
      <c r="T86" s="11">
        <f t="shared" si="20"/>
        <v>1244708.3999999999</v>
      </c>
      <c r="U86" s="26">
        <v>4</v>
      </c>
      <c r="V86" s="6" t="str">
        <f t="shared" si="21"/>
        <v>Turkmenistan</v>
      </c>
      <c r="W86" s="11">
        <f t="shared" si="22"/>
        <v>5822036.2000000002</v>
      </c>
    </row>
    <row r="87" spans="1:23" x14ac:dyDescent="0.25">
      <c r="A87" s="6" t="s">
        <v>98</v>
      </c>
      <c r="B87" s="6" t="s">
        <v>99</v>
      </c>
      <c r="C87" s="6" t="s">
        <v>39</v>
      </c>
      <c r="D87" s="6" t="s">
        <v>17</v>
      </c>
      <c r="E87" s="6" t="s">
        <v>27</v>
      </c>
      <c r="F87" s="7">
        <v>40956</v>
      </c>
      <c r="G87" s="8">
        <f t="shared" si="18"/>
        <v>2012</v>
      </c>
      <c r="H87" s="9">
        <v>430915820</v>
      </c>
      <c r="I87" s="7">
        <v>40988</v>
      </c>
      <c r="J87" s="10">
        <v>6422</v>
      </c>
      <c r="K87" s="9">
        <v>81.73</v>
      </c>
      <c r="L87" s="9">
        <v>56.67</v>
      </c>
      <c r="M87" s="11">
        <v>524870.06000000006</v>
      </c>
      <c r="N87" s="11">
        <v>363934.74</v>
      </c>
      <c r="O87" s="11">
        <v>160935.32</v>
      </c>
      <c r="S87" s="6" t="s">
        <v>75</v>
      </c>
      <c r="T87" s="11">
        <f t="shared" si="20"/>
        <v>4478800.21</v>
      </c>
      <c r="U87" s="42" t="s">
        <v>142</v>
      </c>
      <c r="V87" s="42"/>
      <c r="W87" s="42"/>
    </row>
    <row r="88" spans="1:23" x14ac:dyDescent="0.25">
      <c r="A88" s="6" t="s">
        <v>28</v>
      </c>
      <c r="B88" s="6" t="s">
        <v>29</v>
      </c>
      <c r="C88" s="6" t="s">
        <v>52</v>
      </c>
      <c r="D88" s="6" t="s">
        <v>17</v>
      </c>
      <c r="E88" s="6" t="s">
        <v>23</v>
      </c>
      <c r="F88" s="7">
        <v>40559</v>
      </c>
      <c r="G88" s="8">
        <f t="shared" si="18"/>
        <v>2011</v>
      </c>
      <c r="H88" s="9">
        <v>180283772</v>
      </c>
      <c r="I88" s="7">
        <v>40564</v>
      </c>
      <c r="J88" s="10">
        <v>8829</v>
      </c>
      <c r="K88" s="9">
        <v>47.45</v>
      </c>
      <c r="L88" s="9">
        <v>31.79</v>
      </c>
      <c r="M88" s="11">
        <v>418936.05</v>
      </c>
      <c r="N88" s="11">
        <v>280673.90999999997</v>
      </c>
      <c r="O88" s="11">
        <v>138262.14000000001</v>
      </c>
      <c r="S88" s="6" t="s">
        <v>45</v>
      </c>
      <c r="T88" s="11">
        <f t="shared" si="20"/>
        <v>902980.64</v>
      </c>
      <c r="U88" s="28" t="s">
        <v>129</v>
      </c>
      <c r="V88" s="12" t="s">
        <v>1</v>
      </c>
      <c r="W88" s="27" t="s">
        <v>126</v>
      </c>
    </row>
    <row r="89" spans="1:23" x14ac:dyDescent="0.25">
      <c r="A89" s="6" t="s">
        <v>28</v>
      </c>
      <c r="B89" s="6" t="s">
        <v>64</v>
      </c>
      <c r="C89" s="6" t="s">
        <v>16</v>
      </c>
      <c r="D89" s="6" t="s">
        <v>17</v>
      </c>
      <c r="E89" s="6" t="s">
        <v>35</v>
      </c>
      <c r="F89" s="7">
        <v>41673</v>
      </c>
      <c r="G89" s="8">
        <f t="shared" si="18"/>
        <v>2014</v>
      </c>
      <c r="H89" s="9">
        <v>494747245</v>
      </c>
      <c r="I89" s="7">
        <v>41718</v>
      </c>
      <c r="J89" s="10">
        <v>5559</v>
      </c>
      <c r="K89" s="9">
        <v>255.28</v>
      </c>
      <c r="L89" s="9">
        <v>159.41999999999999</v>
      </c>
      <c r="M89" s="11">
        <v>1419101.52</v>
      </c>
      <c r="N89" s="11">
        <v>886215.78</v>
      </c>
      <c r="O89" s="11">
        <v>532885.74</v>
      </c>
      <c r="S89" s="6" t="s">
        <v>93</v>
      </c>
      <c r="T89" s="11">
        <f t="shared" si="20"/>
        <v>600821.43999999994</v>
      </c>
      <c r="U89" s="26">
        <v>1</v>
      </c>
      <c r="V89" s="6" t="str">
        <f>INDEX($S$83:$S$158, MATCH(SMALL($T$83:$T$158, $U89), $T$83:$T$158, 0))</f>
        <v>Kuwait</v>
      </c>
      <c r="W89" s="11">
        <f t="shared" ref="W89:W92" si="23">SMALL($T$83:$T$158,U89)</f>
        <v>4870.26</v>
      </c>
    </row>
    <row r="90" spans="1:23" x14ac:dyDescent="0.25">
      <c r="A90" s="6" t="s">
        <v>71</v>
      </c>
      <c r="B90" s="6" t="s">
        <v>109</v>
      </c>
      <c r="C90" s="6" t="s">
        <v>30</v>
      </c>
      <c r="D90" s="6" t="s">
        <v>22</v>
      </c>
      <c r="E90" s="6" t="s">
        <v>35</v>
      </c>
      <c r="F90" s="7">
        <v>41029</v>
      </c>
      <c r="G90" s="8">
        <f t="shared" si="18"/>
        <v>2012</v>
      </c>
      <c r="H90" s="9">
        <v>513417565</v>
      </c>
      <c r="I90" s="7">
        <v>41047</v>
      </c>
      <c r="J90" s="10">
        <v>522</v>
      </c>
      <c r="K90" s="9">
        <v>9.33</v>
      </c>
      <c r="L90" s="9">
        <v>6.92</v>
      </c>
      <c r="M90" s="11">
        <v>4870.26</v>
      </c>
      <c r="N90" s="11">
        <v>3612.24</v>
      </c>
      <c r="O90" s="11">
        <v>1258.02</v>
      </c>
      <c r="S90" s="6" t="s">
        <v>73</v>
      </c>
      <c r="T90" s="11">
        <f t="shared" si="20"/>
        <v>4368316.68</v>
      </c>
      <c r="U90" s="26">
        <v>2</v>
      </c>
      <c r="V90" s="6" t="str">
        <f t="shared" ref="V90:V92" si="24">INDEX($S$83:$S$158, MATCH(SMALL($T$83:$T$158, $U90), $T$83:$T$158, 0))</f>
        <v>Kyrgyzstan</v>
      </c>
      <c r="W90" s="11">
        <f t="shared" si="23"/>
        <v>19103.439999999999</v>
      </c>
    </row>
    <row r="91" spans="1:23" x14ac:dyDescent="0.25">
      <c r="A91" s="6" t="s">
        <v>24</v>
      </c>
      <c r="B91" s="6" t="s">
        <v>110</v>
      </c>
      <c r="C91" s="6" t="s">
        <v>52</v>
      </c>
      <c r="D91" s="6" t="s">
        <v>17</v>
      </c>
      <c r="E91" s="6" t="s">
        <v>23</v>
      </c>
      <c r="F91" s="7">
        <v>42666</v>
      </c>
      <c r="G91" s="8">
        <f t="shared" si="18"/>
        <v>2016</v>
      </c>
      <c r="H91" s="9">
        <v>345718562</v>
      </c>
      <c r="I91" s="7">
        <v>42699</v>
      </c>
      <c r="J91" s="10">
        <v>4660</v>
      </c>
      <c r="K91" s="9">
        <v>47.45</v>
      </c>
      <c r="L91" s="9">
        <v>31.79</v>
      </c>
      <c r="M91" s="11">
        <v>221117</v>
      </c>
      <c r="N91" s="11">
        <v>148141.4</v>
      </c>
      <c r="O91" s="11">
        <v>72975.600000000006</v>
      </c>
      <c r="S91" s="6" t="s">
        <v>48</v>
      </c>
      <c r="T91" s="11">
        <f t="shared" si="20"/>
        <v>2779199.71</v>
      </c>
      <c r="U91" s="26">
        <v>3</v>
      </c>
      <c r="V91" s="6" t="str">
        <f t="shared" si="24"/>
        <v>New Zealand</v>
      </c>
      <c r="W91" s="11">
        <f t="shared" si="23"/>
        <v>20404.71</v>
      </c>
    </row>
    <row r="92" spans="1:23" x14ac:dyDescent="0.25">
      <c r="A92" s="6" t="s">
        <v>28</v>
      </c>
      <c r="B92" s="6" t="s">
        <v>84</v>
      </c>
      <c r="C92" s="6" t="s">
        <v>26</v>
      </c>
      <c r="D92" s="6" t="s">
        <v>17</v>
      </c>
      <c r="E92" s="6" t="s">
        <v>18</v>
      </c>
      <c r="F92" s="7">
        <v>42710</v>
      </c>
      <c r="G92" s="8">
        <f t="shared" si="18"/>
        <v>2016</v>
      </c>
      <c r="H92" s="9">
        <v>621386563</v>
      </c>
      <c r="I92" s="7">
        <v>42718</v>
      </c>
      <c r="J92" s="10">
        <v>948</v>
      </c>
      <c r="K92" s="9">
        <v>651.21</v>
      </c>
      <c r="L92" s="9">
        <v>524.96</v>
      </c>
      <c r="M92" s="11">
        <v>617347.07999999996</v>
      </c>
      <c r="N92" s="11">
        <v>497662.08</v>
      </c>
      <c r="O92" s="11">
        <v>119685</v>
      </c>
      <c r="S92" s="6" t="s">
        <v>36</v>
      </c>
      <c r="T92" s="11">
        <f t="shared" si="20"/>
        <v>1245112.92</v>
      </c>
      <c r="U92" s="26">
        <v>4</v>
      </c>
      <c r="V92" s="6" t="str">
        <f t="shared" si="24"/>
        <v>Slovakia</v>
      </c>
      <c r="W92" s="11">
        <f t="shared" si="23"/>
        <v>26344.26</v>
      </c>
    </row>
    <row r="93" spans="1:23" x14ac:dyDescent="0.25">
      <c r="A93" s="6" t="s">
        <v>14</v>
      </c>
      <c r="B93" s="6" t="s">
        <v>67</v>
      </c>
      <c r="C93" s="6" t="s">
        <v>52</v>
      </c>
      <c r="D93" s="6" t="s">
        <v>17</v>
      </c>
      <c r="E93" s="6" t="s">
        <v>18</v>
      </c>
      <c r="F93" s="7">
        <v>41827</v>
      </c>
      <c r="G93" s="8">
        <f t="shared" si="18"/>
        <v>2014</v>
      </c>
      <c r="H93" s="9">
        <v>240470397</v>
      </c>
      <c r="I93" s="7">
        <v>41831</v>
      </c>
      <c r="J93" s="10">
        <v>9389</v>
      </c>
      <c r="K93" s="9">
        <v>47.45</v>
      </c>
      <c r="L93" s="9">
        <v>31.79</v>
      </c>
      <c r="M93" s="11">
        <v>445508.05</v>
      </c>
      <c r="N93" s="11">
        <v>298476.31</v>
      </c>
      <c r="O93" s="11">
        <v>147031.74</v>
      </c>
      <c r="S93" s="6" t="s">
        <v>51</v>
      </c>
      <c r="T93" s="11">
        <f t="shared" si="20"/>
        <v>3851030.28</v>
      </c>
    </row>
    <row r="94" spans="1:23" x14ac:dyDescent="0.25">
      <c r="A94" s="6" t="s">
        <v>71</v>
      </c>
      <c r="B94" s="6" t="s">
        <v>75</v>
      </c>
      <c r="C94" s="6" t="s">
        <v>26</v>
      </c>
      <c r="D94" s="6" t="s">
        <v>22</v>
      </c>
      <c r="E94" s="6" t="s">
        <v>35</v>
      </c>
      <c r="F94" s="7">
        <v>41073</v>
      </c>
      <c r="G94" s="8">
        <f t="shared" si="18"/>
        <v>2012</v>
      </c>
      <c r="H94" s="9">
        <v>423331391</v>
      </c>
      <c r="I94" s="7">
        <v>41114</v>
      </c>
      <c r="J94" s="10">
        <v>2021</v>
      </c>
      <c r="K94" s="9">
        <v>651.21</v>
      </c>
      <c r="L94" s="9">
        <v>524.96</v>
      </c>
      <c r="M94" s="11">
        <v>1316095.4099999999</v>
      </c>
      <c r="N94" s="11">
        <v>1060944.1599999999</v>
      </c>
      <c r="O94" s="11">
        <v>255151.25</v>
      </c>
      <c r="S94" s="6" t="s">
        <v>43</v>
      </c>
      <c r="T94" s="11">
        <f t="shared" si="20"/>
        <v>455479.03999999998</v>
      </c>
    </row>
    <row r="95" spans="1:23" x14ac:dyDescent="0.25">
      <c r="A95" s="6" t="s">
        <v>24</v>
      </c>
      <c r="B95" s="6" t="s">
        <v>111</v>
      </c>
      <c r="C95" s="6" t="s">
        <v>50</v>
      </c>
      <c r="D95" s="6" t="s">
        <v>22</v>
      </c>
      <c r="E95" s="6" t="s">
        <v>18</v>
      </c>
      <c r="F95" s="7">
        <v>40508</v>
      </c>
      <c r="G95" s="8">
        <f t="shared" si="18"/>
        <v>2010</v>
      </c>
      <c r="H95" s="9">
        <v>660643374</v>
      </c>
      <c r="I95" s="7">
        <v>40537</v>
      </c>
      <c r="J95" s="10">
        <v>7910</v>
      </c>
      <c r="K95" s="9">
        <v>437.2</v>
      </c>
      <c r="L95" s="9">
        <v>263.33</v>
      </c>
      <c r="M95" s="11">
        <v>3458252</v>
      </c>
      <c r="N95" s="11">
        <v>2082940.3</v>
      </c>
      <c r="O95" s="11">
        <v>1375311.7</v>
      </c>
      <c r="S95" s="6" t="s">
        <v>77</v>
      </c>
      <c r="T95" s="11">
        <f t="shared" si="20"/>
        <v>197883.4</v>
      </c>
    </row>
    <row r="96" spans="1:23" x14ac:dyDescent="0.25">
      <c r="A96" s="6" t="s">
        <v>19</v>
      </c>
      <c r="B96" s="6" t="s">
        <v>112</v>
      </c>
      <c r="C96" s="6" t="s">
        <v>52</v>
      </c>
      <c r="D96" s="6" t="s">
        <v>17</v>
      </c>
      <c r="E96" s="6" t="s">
        <v>23</v>
      </c>
      <c r="F96" s="7">
        <v>40582</v>
      </c>
      <c r="G96" s="8">
        <f t="shared" si="18"/>
        <v>2011</v>
      </c>
      <c r="H96" s="9">
        <v>963392674</v>
      </c>
      <c r="I96" s="7">
        <v>40623</v>
      </c>
      <c r="J96" s="10">
        <v>8156</v>
      </c>
      <c r="K96" s="9">
        <v>47.45</v>
      </c>
      <c r="L96" s="9">
        <v>31.79</v>
      </c>
      <c r="M96" s="11">
        <v>387002.2</v>
      </c>
      <c r="N96" s="11">
        <v>259279.24</v>
      </c>
      <c r="O96" s="11">
        <v>127722.96</v>
      </c>
      <c r="S96" s="6" t="s">
        <v>70</v>
      </c>
      <c r="T96" s="11">
        <f t="shared" si="20"/>
        <v>523807.57</v>
      </c>
    </row>
    <row r="97" spans="1:20" x14ac:dyDescent="0.25">
      <c r="A97" s="6" t="s">
        <v>28</v>
      </c>
      <c r="B97" s="6" t="s">
        <v>63</v>
      </c>
      <c r="C97" s="6" t="s">
        <v>44</v>
      </c>
      <c r="D97" s="6" t="s">
        <v>22</v>
      </c>
      <c r="E97" s="6" t="s">
        <v>35</v>
      </c>
      <c r="F97" s="7">
        <v>40750</v>
      </c>
      <c r="G97" s="8">
        <f t="shared" si="18"/>
        <v>2011</v>
      </c>
      <c r="H97" s="9">
        <v>512878119</v>
      </c>
      <c r="I97" s="7">
        <v>40789</v>
      </c>
      <c r="J97" s="10">
        <v>888</v>
      </c>
      <c r="K97" s="9">
        <v>109.28</v>
      </c>
      <c r="L97" s="9">
        <v>35.840000000000003</v>
      </c>
      <c r="M97" s="11">
        <v>97040.639999999999</v>
      </c>
      <c r="N97" s="11">
        <v>31825.919999999998</v>
      </c>
      <c r="O97" s="11">
        <v>65214.720000000001</v>
      </c>
      <c r="S97" s="6" t="s">
        <v>85</v>
      </c>
      <c r="T97" s="11">
        <f t="shared" si="20"/>
        <v>380512.96</v>
      </c>
    </row>
    <row r="98" spans="1:20" x14ac:dyDescent="0.25">
      <c r="A98" s="6" t="s">
        <v>41</v>
      </c>
      <c r="B98" s="6" t="s">
        <v>113</v>
      </c>
      <c r="C98" s="6" t="s">
        <v>30</v>
      </c>
      <c r="D98" s="6" t="s">
        <v>17</v>
      </c>
      <c r="E98" s="6" t="s">
        <v>27</v>
      </c>
      <c r="F98" s="7">
        <v>40858</v>
      </c>
      <c r="G98" s="8">
        <f t="shared" si="18"/>
        <v>2011</v>
      </c>
      <c r="H98" s="9">
        <v>810711038</v>
      </c>
      <c r="I98" s="7">
        <v>40905</v>
      </c>
      <c r="J98" s="10">
        <v>6267</v>
      </c>
      <c r="K98" s="9">
        <v>9.33</v>
      </c>
      <c r="L98" s="9">
        <v>6.92</v>
      </c>
      <c r="M98" s="11">
        <v>58471.11</v>
      </c>
      <c r="N98" s="11">
        <v>43367.64</v>
      </c>
      <c r="O98" s="11">
        <v>15103.47</v>
      </c>
      <c r="S98" s="6" t="s">
        <v>96</v>
      </c>
      <c r="T98" s="11">
        <f t="shared" si="20"/>
        <v>272410.45</v>
      </c>
    </row>
    <row r="99" spans="1:20" x14ac:dyDescent="0.25">
      <c r="A99" s="6" t="s">
        <v>28</v>
      </c>
      <c r="B99" s="6" t="s">
        <v>84</v>
      </c>
      <c r="C99" s="6" t="s">
        <v>37</v>
      </c>
      <c r="D99" s="6" t="s">
        <v>17</v>
      </c>
      <c r="E99" s="6" t="s">
        <v>23</v>
      </c>
      <c r="F99" s="7">
        <v>42522</v>
      </c>
      <c r="G99" s="8">
        <f t="shared" si="18"/>
        <v>2016</v>
      </c>
      <c r="H99" s="9">
        <v>728815257</v>
      </c>
      <c r="I99" s="7">
        <v>42550</v>
      </c>
      <c r="J99" s="10">
        <v>1485</v>
      </c>
      <c r="K99" s="9">
        <v>154.06</v>
      </c>
      <c r="L99" s="9">
        <v>90.93</v>
      </c>
      <c r="M99" s="11">
        <v>228779.1</v>
      </c>
      <c r="N99" s="11">
        <v>135031.04999999999</v>
      </c>
      <c r="O99" s="11">
        <v>93748.05</v>
      </c>
      <c r="S99" s="6" t="s">
        <v>69</v>
      </c>
      <c r="T99" s="11">
        <f t="shared" si="20"/>
        <v>6052890.8600000003</v>
      </c>
    </row>
    <row r="100" spans="1:20" x14ac:dyDescent="0.25">
      <c r="A100" s="6" t="s">
        <v>98</v>
      </c>
      <c r="B100" s="6" t="s">
        <v>99</v>
      </c>
      <c r="C100" s="6" t="s">
        <v>39</v>
      </c>
      <c r="D100" s="6" t="s">
        <v>17</v>
      </c>
      <c r="E100" s="6" t="s">
        <v>35</v>
      </c>
      <c r="F100" s="7">
        <v>42215</v>
      </c>
      <c r="G100" s="8">
        <f t="shared" si="18"/>
        <v>2015</v>
      </c>
      <c r="H100" s="9">
        <v>559427106</v>
      </c>
      <c r="I100" s="7">
        <v>42224</v>
      </c>
      <c r="J100" s="10">
        <v>5767</v>
      </c>
      <c r="K100" s="9">
        <v>81.73</v>
      </c>
      <c r="L100" s="9">
        <v>56.67</v>
      </c>
      <c r="M100" s="11">
        <v>471336.91</v>
      </c>
      <c r="N100" s="11">
        <v>326815.89</v>
      </c>
      <c r="O100" s="11">
        <v>144521.01999999999</v>
      </c>
      <c r="S100" s="6" t="s">
        <v>54</v>
      </c>
      <c r="T100" s="11">
        <f t="shared" si="20"/>
        <v>2492526.12</v>
      </c>
    </row>
    <row r="101" spans="1:20" x14ac:dyDescent="0.25">
      <c r="A101" s="6" t="s">
        <v>28</v>
      </c>
      <c r="B101" s="6" t="s">
        <v>114</v>
      </c>
      <c r="C101" s="6" t="s">
        <v>34</v>
      </c>
      <c r="D101" s="6" t="s">
        <v>17</v>
      </c>
      <c r="E101" s="6" t="s">
        <v>27</v>
      </c>
      <c r="F101" s="7">
        <v>40949</v>
      </c>
      <c r="G101" s="8">
        <f t="shared" si="18"/>
        <v>2012</v>
      </c>
      <c r="H101" s="9">
        <v>665095412</v>
      </c>
      <c r="I101" s="7">
        <v>40954</v>
      </c>
      <c r="J101" s="10">
        <v>5367</v>
      </c>
      <c r="K101" s="9">
        <v>668.27</v>
      </c>
      <c r="L101" s="9">
        <v>502.54</v>
      </c>
      <c r="M101" s="11">
        <v>3586605.09</v>
      </c>
      <c r="N101" s="11">
        <v>2697132.18</v>
      </c>
      <c r="O101" s="11">
        <v>889472.91</v>
      </c>
      <c r="S101" s="6" t="s">
        <v>100</v>
      </c>
      <c r="T101" s="11">
        <f t="shared" si="20"/>
        <v>445033.55</v>
      </c>
    </row>
    <row r="102" spans="1:20" x14ac:dyDescent="0.25">
      <c r="J102" s="16">
        <f>SUM(J2:J101)</f>
        <v>512871</v>
      </c>
      <c r="L102" s="17">
        <f>SUM(L2:L101)</f>
        <v>19104.800000000007</v>
      </c>
      <c r="M102" s="17">
        <f t="shared" ref="M102:O102" si="25">SUM(M2:M101)</f>
        <v>137348768.30999997</v>
      </c>
      <c r="N102" s="17">
        <f t="shared" si="25"/>
        <v>93180569.909999982</v>
      </c>
      <c r="O102" s="17">
        <f t="shared" si="25"/>
        <v>44168198.399999991</v>
      </c>
      <c r="S102" s="6" t="s">
        <v>86</v>
      </c>
      <c r="T102" s="11">
        <f t="shared" si="20"/>
        <v>1082418.3999999999</v>
      </c>
    </row>
    <row r="103" spans="1:20" x14ac:dyDescent="0.25">
      <c r="S103" s="6" t="s">
        <v>61</v>
      </c>
      <c r="T103" s="11">
        <f t="shared" si="20"/>
        <v>793518</v>
      </c>
    </row>
    <row r="104" spans="1:20" x14ac:dyDescent="0.25">
      <c r="S104" s="6" t="s">
        <v>92</v>
      </c>
      <c r="T104" s="11">
        <f t="shared" si="20"/>
        <v>707454.88</v>
      </c>
    </row>
    <row r="105" spans="1:20" x14ac:dyDescent="0.25">
      <c r="S105" s="6" t="s">
        <v>20</v>
      </c>
      <c r="T105" s="11">
        <f t="shared" si="20"/>
        <v>576782.80000000005</v>
      </c>
    </row>
    <row r="106" spans="1:20" x14ac:dyDescent="0.25">
      <c r="S106" s="6" t="s">
        <v>91</v>
      </c>
      <c r="T106" s="11">
        <f t="shared" si="20"/>
        <v>745426</v>
      </c>
    </row>
    <row r="107" spans="1:20" x14ac:dyDescent="0.25">
      <c r="S107" s="6" t="s">
        <v>46</v>
      </c>
      <c r="T107" s="11">
        <f t="shared" si="20"/>
        <v>6336545.4800000004</v>
      </c>
    </row>
    <row r="108" spans="1:20" x14ac:dyDescent="0.25">
      <c r="S108" s="6" t="s">
        <v>78</v>
      </c>
      <c r="T108" s="11">
        <f t="shared" si="20"/>
        <v>3876652.4</v>
      </c>
    </row>
    <row r="109" spans="1:20" x14ac:dyDescent="0.25">
      <c r="S109" s="6" t="s">
        <v>106</v>
      </c>
      <c r="T109" s="11">
        <f t="shared" si="20"/>
        <v>2836990.8</v>
      </c>
    </row>
    <row r="110" spans="1:20" x14ac:dyDescent="0.25">
      <c r="S110" s="6" t="s">
        <v>108</v>
      </c>
      <c r="T110" s="11">
        <f t="shared" si="20"/>
        <v>994765.42</v>
      </c>
    </row>
    <row r="111" spans="1:20" x14ac:dyDescent="0.25">
      <c r="S111" s="6" t="s">
        <v>62</v>
      </c>
      <c r="T111" s="11">
        <f t="shared" si="20"/>
        <v>50363.34</v>
      </c>
    </row>
    <row r="112" spans="1:20" x14ac:dyDescent="0.25">
      <c r="S112" s="6" t="s">
        <v>109</v>
      </c>
      <c r="T112" s="11">
        <f t="shared" si="20"/>
        <v>4870.26</v>
      </c>
    </row>
    <row r="113" spans="19:20" x14ac:dyDescent="0.25">
      <c r="S113" s="6" t="s">
        <v>42</v>
      </c>
      <c r="T113" s="11">
        <f t="shared" si="20"/>
        <v>19103.439999999999</v>
      </c>
    </row>
    <row r="114" spans="19:20" x14ac:dyDescent="0.25">
      <c r="S114" s="6" t="s">
        <v>101</v>
      </c>
      <c r="T114" s="11">
        <f t="shared" si="20"/>
        <v>574951.92000000004</v>
      </c>
    </row>
    <row r="115" spans="19:20" x14ac:dyDescent="0.25">
      <c r="S115" s="6" t="s">
        <v>105</v>
      </c>
      <c r="T115" s="11">
        <f t="shared" si="20"/>
        <v>861563.52</v>
      </c>
    </row>
    <row r="116" spans="19:20" x14ac:dyDescent="0.25">
      <c r="S116" s="6" t="s">
        <v>82</v>
      </c>
      <c r="T116" s="11">
        <f t="shared" si="20"/>
        <v>89623.98</v>
      </c>
    </row>
    <row r="117" spans="19:20" x14ac:dyDescent="0.25">
      <c r="S117" s="6" t="s">
        <v>90</v>
      </c>
      <c r="T117" s="11">
        <f t="shared" si="20"/>
        <v>674635.57</v>
      </c>
    </row>
    <row r="118" spans="19:20" x14ac:dyDescent="0.25">
      <c r="S118" s="6" t="s">
        <v>94</v>
      </c>
      <c r="T118" s="11">
        <f t="shared" si="20"/>
        <v>5396577.2699999996</v>
      </c>
    </row>
    <row r="119" spans="19:20" x14ac:dyDescent="0.25">
      <c r="S119" s="6" t="s">
        <v>79</v>
      </c>
      <c r="T119" s="11">
        <f t="shared" si="20"/>
        <v>856973.76</v>
      </c>
    </row>
    <row r="120" spans="19:20" x14ac:dyDescent="0.25">
      <c r="S120" s="6" t="s">
        <v>95</v>
      </c>
      <c r="T120" s="11">
        <f t="shared" si="20"/>
        <v>802333.76</v>
      </c>
    </row>
    <row r="121" spans="19:20" x14ac:dyDescent="0.25">
      <c r="S121" s="6" t="s">
        <v>113</v>
      </c>
      <c r="T121" s="11">
        <f t="shared" si="20"/>
        <v>58471.11</v>
      </c>
    </row>
    <row r="122" spans="19:20" x14ac:dyDescent="0.25">
      <c r="S122" s="6" t="s">
        <v>63</v>
      </c>
      <c r="T122" s="11">
        <f t="shared" si="20"/>
        <v>151359.9</v>
      </c>
    </row>
    <row r="123" spans="19:20" x14ac:dyDescent="0.25">
      <c r="S123" s="6" t="s">
        <v>80</v>
      </c>
      <c r="T123" s="11">
        <f t="shared" si="20"/>
        <v>824431.86</v>
      </c>
    </row>
    <row r="124" spans="19:20" x14ac:dyDescent="0.25">
      <c r="S124" s="6" t="s">
        <v>99</v>
      </c>
      <c r="T124" s="11">
        <f t="shared" si="20"/>
        <v>5643356.5500000007</v>
      </c>
    </row>
    <row r="125" spans="19:20" x14ac:dyDescent="0.25">
      <c r="S125" s="6" t="s">
        <v>60</v>
      </c>
      <c r="T125" s="11">
        <f t="shared" si="20"/>
        <v>414371.1</v>
      </c>
    </row>
    <row r="126" spans="19:20" x14ac:dyDescent="0.25">
      <c r="S126" s="6" t="s">
        <v>102</v>
      </c>
      <c r="T126" s="11">
        <f t="shared" si="20"/>
        <v>2198981.92</v>
      </c>
    </row>
    <row r="127" spans="19:20" x14ac:dyDescent="0.25">
      <c r="S127" s="6" t="s">
        <v>47</v>
      </c>
      <c r="T127" s="11">
        <f t="shared" si="20"/>
        <v>400558.73</v>
      </c>
    </row>
    <row r="128" spans="19:20" x14ac:dyDescent="0.25">
      <c r="S128" s="6" t="s">
        <v>114</v>
      </c>
      <c r="T128" s="11">
        <f t="shared" si="20"/>
        <v>3586605.09</v>
      </c>
    </row>
    <row r="129" spans="19:20" x14ac:dyDescent="0.25">
      <c r="S129" s="6" t="s">
        <v>68</v>
      </c>
      <c r="T129" s="11">
        <f t="shared" si="20"/>
        <v>6161257.9000000004</v>
      </c>
    </row>
    <row r="130" spans="19:20" x14ac:dyDescent="0.25">
      <c r="S130" s="6" t="s">
        <v>59</v>
      </c>
      <c r="T130" s="11">
        <f t="shared" si="20"/>
        <v>20404.71</v>
      </c>
    </row>
    <row r="131" spans="19:20" x14ac:dyDescent="0.25">
      <c r="S131" s="6" t="s">
        <v>112</v>
      </c>
      <c r="T131" s="11">
        <f t="shared" si="20"/>
        <v>387002.2</v>
      </c>
    </row>
    <row r="132" spans="19:20" x14ac:dyDescent="0.25">
      <c r="S132" s="6" t="s">
        <v>74</v>
      </c>
      <c r="T132" s="11">
        <f t="shared" si="20"/>
        <v>246415.95</v>
      </c>
    </row>
    <row r="133" spans="19:20" x14ac:dyDescent="0.25">
      <c r="S133" s="6" t="s">
        <v>56</v>
      </c>
      <c r="T133" s="11">
        <f t="shared" si="20"/>
        <v>2144969.7999999998</v>
      </c>
    </row>
    <row r="134" spans="19:20" x14ac:dyDescent="0.25">
      <c r="S134" s="6" t="s">
        <v>97</v>
      </c>
      <c r="T134" s="11">
        <f t="shared" si="20"/>
        <v>4324782.4000000004</v>
      </c>
    </row>
    <row r="135" spans="19:20" x14ac:dyDescent="0.25">
      <c r="S135" s="6" t="s">
        <v>57</v>
      </c>
      <c r="T135" s="11">
        <f t="shared" si="20"/>
        <v>324971.44</v>
      </c>
    </row>
    <row r="136" spans="19:20" x14ac:dyDescent="0.25">
      <c r="S136" s="6" t="s">
        <v>38</v>
      </c>
      <c r="T136" s="11">
        <f t="shared" si="20"/>
        <v>496101.1</v>
      </c>
    </row>
    <row r="137" spans="19:20" x14ac:dyDescent="0.25">
      <c r="S137" s="6" t="s">
        <v>111</v>
      </c>
      <c r="T137" s="11">
        <f t="shared" si="20"/>
        <v>3458252</v>
      </c>
    </row>
    <row r="138" spans="19:20" x14ac:dyDescent="0.25">
      <c r="S138" s="6" t="s">
        <v>25</v>
      </c>
      <c r="T138" s="11">
        <f t="shared" si="20"/>
        <v>1158502.5900000001</v>
      </c>
    </row>
    <row r="139" spans="19:20" x14ac:dyDescent="0.25">
      <c r="S139" s="6" t="s">
        <v>31</v>
      </c>
      <c r="T139" s="11">
        <f t="shared" si="20"/>
        <v>5253769.42</v>
      </c>
    </row>
    <row r="140" spans="19:20" x14ac:dyDescent="0.25">
      <c r="S140" s="6" t="s">
        <v>103</v>
      </c>
      <c r="T140" s="11">
        <f t="shared" si="20"/>
        <v>4220728.8</v>
      </c>
    </row>
    <row r="141" spans="19:20" x14ac:dyDescent="0.25">
      <c r="S141" s="6" t="s">
        <v>89</v>
      </c>
      <c r="T141" s="11">
        <f t="shared" si="20"/>
        <v>1212580</v>
      </c>
    </row>
    <row r="142" spans="19:20" x14ac:dyDescent="0.25">
      <c r="S142" s="6" t="s">
        <v>29</v>
      </c>
      <c r="T142" s="11">
        <f t="shared" si="20"/>
        <v>565780.91999999993</v>
      </c>
    </row>
    <row r="143" spans="19:20" x14ac:dyDescent="0.25">
      <c r="S143" s="6" t="s">
        <v>83</v>
      </c>
      <c r="T143" s="11">
        <f t="shared" si="20"/>
        <v>835759.1</v>
      </c>
    </row>
    <row r="144" spans="19:20" x14ac:dyDescent="0.25">
      <c r="S144" s="6" t="s">
        <v>40</v>
      </c>
      <c r="T144" s="11">
        <f t="shared" si="20"/>
        <v>1356180.1</v>
      </c>
    </row>
    <row r="145" spans="19:20" x14ac:dyDescent="0.25">
      <c r="S145" s="6" t="s">
        <v>84</v>
      </c>
      <c r="T145" s="11">
        <f t="shared" si="20"/>
        <v>3097359.1500000004</v>
      </c>
    </row>
    <row r="146" spans="19:20" x14ac:dyDescent="0.25">
      <c r="S146" s="6" t="s">
        <v>76</v>
      </c>
      <c r="T146" s="11">
        <f t="shared" si="20"/>
        <v>26344.26</v>
      </c>
    </row>
    <row r="147" spans="19:20" x14ac:dyDescent="0.25">
      <c r="S147" s="6" t="s">
        <v>110</v>
      </c>
      <c r="T147" s="11">
        <f>SUMIF($B$2:$B$101,S147,$M$2:$M$101)</f>
        <v>221117</v>
      </c>
    </row>
    <row r="148" spans="19:20" x14ac:dyDescent="0.25">
      <c r="S148" s="6" t="s">
        <v>32</v>
      </c>
      <c r="T148" s="11">
        <f t="shared" ref="T148:T158" si="26">SUMIF($B$2:$B$101,S148,$M$2:$M$101)</f>
        <v>759202.72</v>
      </c>
    </row>
    <row r="149" spans="19:20" x14ac:dyDescent="0.25">
      <c r="S149" s="6" t="s">
        <v>66</v>
      </c>
      <c r="T149" s="11">
        <f t="shared" si="26"/>
        <v>173676.25</v>
      </c>
    </row>
    <row r="150" spans="19:20" x14ac:dyDescent="0.25">
      <c r="S150" s="6" t="s">
        <v>104</v>
      </c>
      <c r="T150" s="11">
        <f t="shared" si="26"/>
        <v>3015902.51</v>
      </c>
    </row>
    <row r="151" spans="19:20" x14ac:dyDescent="0.25">
      <c r="S151" s="6" t="s">
        <v>49</v>
      </c>
      <c r="T151" s="11">
        <f t="shared" si="26"/>
        <v>3039414.4</v>
      </c>
    </row>
    <row r="152" spans="19:20" x14ac:dyDescent="0.25">
      <c r="S152" s="6" t="s">
        <v>65</v>
      </c>
      <c r="T152" s="11">
        <f t="shared" si="26"/>
        <v>3808901.49</v>
      </c>
    </row>
    <row r="153" spans="19:20" x14ac:dyDescent="0.25">
      <c r="S153" s="6" t="s">
        <v>72</v>
      </c>
      <c r="T153" s="11">
        <f t="shared" si="26"/>
        <v>35304.720000000001</v>
      </c>
    </row>
    <row r="154" spans="19:20" x14ac:dyDescent="0.25">
      <c r="S154" s="6" t="s">
        <v>64</v>
      </c>
      <c r="T154" s="11">
        <f t="shared" si="26"/>
        <v>5449517.9499999993</v>
      </c>
    </row>
    <row r="155" spans="19:20" x14ac:dyDescent="0.25">
      <c r="S155" s="6" t="s">
        <v>53</v>
      </c>
      <c r="T155" s="11">
        <f t="shared" si="26"/>
        <v>5822036.2000000002</v>
      </c>
    </row>
    <row r="156" spans="19:20" x14ac:dyDescent="0.25">
      <c r="S156" s="6" t="s">
        <v>15</v>
      </c>
      <c r="T156" s="11">
        <f t="shared" si="26"/>
        <v>2533654</v>
      </c>
    </row>
    <row r="157" spans="19:20" x14ac:dyDescent="0.25">
      <c r="S157" s="6" t="s">
        <v>88</v>
      </c>
      <c r="T157" s="11">
        <f t="shared" si="26"/>
        <v>188452.14</v>
      </c>
    </row>
    <row r="158" spans="19:20" x14ac:dyDescent="0.25">
      <c r="S158" s="6" t="s">
        <v>107</v>
      </c>
      <c r="T158" s="11">
        <f t="shared" si="26"/>
        <v>623289.30000000005</v>
      </c>
    </row>
    <row r="159" spans="19:20" x14ac:dyDescent="0.25">
      <c r="S159" s="12" t="s">
        <v>127</v>
      </c>
      <c r="T159" s="17">
        <f>SUBTOTAL(9,T83:T158)</f>
        <v>137348768.31</v>
      </c>
    </row>
    <row r="161" spans="19:21" x14ac:dyDescent="0.25">
      <c r="S161" s="42" t="s">
        <v>143</v>
      </c>
      <c r="T161" s="42"/>
      <c r="U161" s="42"/>
    </row>
    <row r="162" spans="19:21" x14ac:dyDescent="0.25">
      <c r="S162" s="12" t="s">
        <v>115</v>
      </c>
      <c r="T162" s="19" t="s">
        <v>126</v>
      </c>
      <c r="U162" s="12" t="s">
        <v>130</v>
      </c>
    </row>
    <row r="163" spans="19:21" x14ac:dyDescent="0.25">
      <c r="S163" s="8">
        <v>2010</v>
      </c>
      <c r="T163" s="18">
        <f>SUMIF($G$2:$G$101,S163,$M$2:$M$101)</f>
        <v>19186024.920000002</v>
      </c>
      <c r="U163" s="23">
        <f>((T163-T163)/T163)*100</f>
        <v>0</v>
      </c>
    </row>
    <row r="164" spans="19:21" x14ac:dyDescent="0.25">
      <c r="S164" s="8">
        <v>2011</v>
      </c>
      <c r="T164" s="18">
        <f t="shared" ref="T164:T170" si="27">SUMIF($G$2:$G$101,S164,$M$2:$M$101)</f>
        <v>11129166.07</v>
      </c>
      <c r="U164" s="23">
        <f>((T164-T163)/T163)*100</f>
        <v>-41.99337217372905</v>
      </c>
    </row>
    <row r="165" spans="19:21" x14ac:dyDescent="0.25">
      <c r="S165" s="8">
        <v>2012</v>
      </c>
      <c r="T165" s="18">
        <f t="shared" si="27"/>
        <v>31898644.52</v>
      </c>
      <c r="U165" s="23">
        <f t="shared" ref="U165:U170" si="28">((T165-T164)/T164)*100</f>
        <v>186.62205523185261</v>
      </c>
    </row>
    <row r="166" spans="19:21" x14ac:dyDescent="0.25">
      <c r="S166" s="8">
        <v>2013</v>
      </c>
      <c r="T166" s="18">
        <f t="shared" si="27"/>
        <v>20330448.66</v>
      </c>
      <c r="U166" s="23">
        <f t="shared" si="28"/>
        <v>-36.265477841062818</v>
      </c>
    </row>
    <row r="167" spans="19:21" x14ac:dyDescent="0.25">
      <c r="S167" s="8">
        <v>2014</v>
      </c>
      <c r="T167" s="18">
        <f t="shared" si="27"/>
        <v>16630214.430000002</v>
      </c>
      <c r="U167" s="23">
        <f t="shared" si="28"/>
        <v>-18.2004553459766</v>
      </c>
    </row>
    <row r="168" spans="19:21" x14ac:dyDescent="0.25">
      <c r="S168" s="8">
        <v>2015</v>
      </c>
      <c r="T168" s="18">
        <f t="shared" si="27"/>
        <v>12427982.860000001</v>
      </c>
      <c r="U168" s="23">
        <f t="shared" si="28"/>
        <v>-25.26865536032658</v>
      </c>
    </row>
    <row r="169" spans="19:21" x14ac:dyDescent="0.25">
      <c r="S169" s="8">
        <v>2016</v>
      </c>
      <c r="T169" s="18">
        <f t="shared" si="27"/>
        <v>12372867.219999999</v>
      </c>
      <c r="U169" s="23">
        <f t="shared" si="28"/>
        <v>-0.44348017390170791</v>
      </c>
    </row>
    <row r="170" spans="19:21" x14ac:dyDescent="0.25">
      <c r="S170" s="8">
        <v>2017</v>
      </c>
      <c r="T170" s="18">
        <f t="shared" si="27"/>
        <v>13373419.629999999</v>
      </c>
      <c r="U170" s="23">
        <f t="shared" si="28"/>
        <v>8.0866657033437406</v>
      </c>
    </row>
    <row r="171" spans="19:21" x14ac:dyDescent="0.25">
      <c r="S171" s="12" t="s">
        <v>127</v>
      </c>
      <c r="T171" s="29">
        <f>SUM(T163:T170)</f>
        <v>137348768.31</v>
      </c>
      <c r="U171" s="6"/>
    </row>
  </sheetData>
  <autoFilter ref="A1:O102" xr:uid="{94D4A07C-5D79-4258-A4E1-8C7BD9F60BD2}"/>
  <sortState xmlns:xlrd2="http://schemas.microsoft.com/office/spreadsheetml/2017/richdata2" ref="S17:S24">
    <sortCondition ref="S17:S24"/>
  </sortState>
  <mergeCells count="9">
    <mergeCell ref="S27:AA27"/>
    <mergeCell ref="S15:T15"/>
    <mergeCell ref="S161:U161"/>
    <mergeCell ref="U81:W81"/>
    <mergeCell ref="U87:W87"/>
    <mergeCell ref="S81:T81"/>
    <mergeCell ref="S70:T70"/>
    <mergeCell ref="S54:V54"/>
    <mergeCell ref="S43:U43"/>
  </mergeCells>
  <pageMargins left="0.7" right="0.7" top="0.75" bottom="0.75" header="0.3" footer="0.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0E45-338C-4DCF-82A8-70D4278BEAC6}">
  <sheetPr>
    <tabColor rgb="FF00B0F0"/>
  </sheetPr>
  <dimension ref="A3:J70"/>
  <sheetViews>
    <sheetView topLeftCell="A37" workbookViewId="0">
      <selection activeCell="G57" sqref="G57"/>
    </sheetView>
  </sheetViews>
  <sheetFormatPr defaultRowHeight="15" x14ac:dyDescent="0.25"/>
  <cols>
    <col min="1" max="1" width="32.42578125" bestFit="1" customWidth="1"/>
    <col min="2" max="2" width="15.28515625" bestFit="1" customWidth="1"/>
    <col min="3" max="9" width="10.5703125" bestFit="1" customWidth="1"/>
    <col min="10" max="10" width="11.5703125" bestFit="1" customWidth="1"/>
  </cols>
  <sheetData>
    <row r="3" spans="1:2" ht="30" x14ac:dyDescent="0.25">
      <c r="A3" s="44" t="s">
        <v>1</v>
      </c>
      <c r="B3" s="37" t="s">
        <v>123</v>
      </c>
    </row>
    <row r="4" spans="1:2" x14ac:dyDescent="0.25">
      <c r="A4" s="34" t="s">
        <v>41</v>
      </c>
      <c r="B4" s="35">
        <v>6113845.8700000001</v>
      </c>
    </row>
    <row r="5" spans="1:2" x14ac:dyDescent="0.25">
      <c r="A5" s="34" t="s">
        <v>14</v>
      </c>
      <c r="B5" s="35">
        <v>4722160.03</v>
      </c>
    </row>
    <row r="6" spans="1:2" x14ac:dyDescent="0.25">
      <c r="A6" s="34" t="s">
        <v>19</v>
      </c>
      <c r="B6" s="35">
        <v>2846907.85</v>
      </c>
    </row>
    <row r="7" spans="1:2" x14ac:dyDescent="0.25">
      <c r="A7" s="34" t="s">
        <v>24</v>
      </c>
      <c r="B7" s="35">
        <v>11082938.629999999</v>
      </c>
    </row>
    <row r="8" spans="1:2" x14ac:dyDescent="0.25">
      <c r="A8" s="34" t="s">
        <v>71</v>
      </c>
      <c r="B8" s="35">
        <v>5761191.8599999994</v>
      </c>
    </row>
    <row r="9" spans="1:2" x14ac:dyDescent="0.25">
      <c r="A9" s="34" t="s">
        <v>98</v>
      </c>
      <c r="B9" s="35">
        <v>1457942.76</v>
      </c>
    </row>
    <row r="10" spans="1:2" x14ac:dyDescent="0.25">
      <c r="A10" s="34" t="s">
        <v>28</v>
      </c>
      <c r="B10" s="35">
        <v>12183211.400000004</v>
      </c>
    </row>
    <row r="11" spans="1:2" x14ac:dyDescent="0.25">
      <c r="A11" s="34" t="s">
        <v>145</v>
      </c>
      <c r="B11" s="35">
        <v>44168198.400000006</v>
      </c>
    </row>
    <row r="15" spans="1:2" ht="30" x14ac:dyDescent="0.25">
      <c r="A15" s="44" t="s">
        <v>115</v>
      </c>
      <c r="B15" s="37" t="s">
        <v>122</v>
      </c>
    </row>
    <row r="16" spans="1:2" x14ac:dyDescent="0.25">
      <c r="A16" s="36">
        <v>2010</v>
      </c>
      <c r="B16" s="35">
        <v>19186024.920000002</v>
      </c>
    </row>
    <row r="17" spans="1:10" x14ac:dyDescent="0.25">
      <c r="A17" s="36">
        <v>2011</v>
      </c>
      <c r="B17" s="35">
        <v>11129166.07</v>
      </c>
    </row>
    <row r="18" spans="1:10" x14ac:dyDescent="0.25">
      <c r="A18" s="36">
        <v>2012</v>
      </c>
      <c r="B18" s="35">
        <v>31898644.52</v>
      </c>
    </row>
    <row r="19" spans="1:10" x14ac:dyDescent="0.25">
      <c r="A19" s="36">
        <v>2013</v>
      </c>
      <c r="B19" s="35">
        <v>20330448.66</v>
      </c>
    </row>
    <row r="20" spans="1:10" x14ac:dyDescent="0.25">
      <c r="A20" s="36">
        <v>2014</v>
      </c>
      <c r="B20" s="35">
        <v>16630214.430000002</v>
      </c>
    </row>
    <row r="21" spans="1:10" x14ac:dyDescent="0.25">
      <c r="A21" s="36">
        <v>2015</v>
      </c>
      <c r="B21" s="35">
        <v>12427982.860000001</v>
      </c>
    </row>
    <row r="22" spans="1:10" x14ac:dyDescent="0.25">
      <c r="A22" s="36">
        <v>2016</v>
      </c>
      <c r="B22" s="35">
        <v>12372867.219999999</v>
      </c>
    </row>
    <row r="23" spans="1:10" x14ac:dyDescent="0.25">
      <c r="A23" s="36">
        <v>2017</v>
      </c>
      <c r="B23" s="35">
        <v>13373419.629999999</v>
      </c>
    </row>
    <row r="24" spans="1:10" x14ac:dyDescent="0.25">
      <c r="A24" s="36" t="s">
        <v>145</v>
      </c>
      <c r="B24" s="35">
        <v>137348768.31</v>
      </c>
    </row>
    <row r="28" spans="1:10" x14ac:dyDescent="0.25">
      <c r="A28" s="33" t="s">
        <v>121</v>
      </c>
      <c r="B28" s="33" t="s">
        <v>146</v>
      </c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33" t="s">
        <v>144</v>
      </c>
      <c r="B29" s="8">
        <v>2010</v>
      </c>
      <c r="C29" s="8">
        <v>2011</v>
      </c>
      <c r="D29" s="8">
        <v>2012</v>
      </c>
      <c r="E29" s="8">
        <v>2013</v>
      </c>
      <c r="F29" s="8">
        <v>2014</v>
      </c>
      <c r="G29" s="8">
        <v>2015</v>
      </c>
      <c r="H29" s="8">
        <v>2016</v>
      </c>
      <c r="I29" s="8">
        <v>2017</v>
      </c>
      <c r="J29" s="8" t="s">
        <v>145</v>
      </c>
    </row>
    <row r="30" spans="1:10" x14ac:dyDescent="0.25">
      <c r="A30" s="34" t="s">
        <v>16</v>
      </c>
      <c r="B30" s="35">
        <v>9925</v>
      </c>
      <c r="C30" s="35"/>
      <c r="D30" s="35">
        <v>8614</v>
      </c>
      <c r="E30" s="35">
        <v>4750</v>
      </c>
      <c r="F30" s="35">
        <v>13009</v>
      </c>
      <c r="G30" s="35">
        <v>4247</v>
      </c>
      <c r="H30" s="35"/>
      <c r="I30" s="35"/>
      <c r="J30" s="35">
        <v>40545</v>
      </c>
    </row>
    <row r="31" spans="1:10" x14ac:dyDescent="0.25">
      <c r="A31" s="34" t="s">
        <v>52</v>
      </c>
      <c r="B31" s="35"/>
      <c r="C31" s="35">
        <v>22726</v>
      </c>
      <c r="D31" s="35"/>
      <c r="E31" s="35"/>
      <c r="F31" s="35">
        <v>23892</v>
      </c>
      <c r="G31" s="35">
        <v>5430</v>
      </c>
      <c r="H31" s="35">
        <v>4660</v>
      </c>
      <c r="I31" s="35"/>
      <c r="J31" s="35">
        <v>56708</v>
      </c>
    </row>
    <row r="32" spans="1:10" x14ac:dyDescent="0.25">
      <c r="A32" s="34" t="s">
        <v>21</v>
      </c>
      <c r="B32" s="35"/>
      <c r="C32" s="35"/>
      <c r="D32" s="35">
        <v>4921</v>
      </c>
      <c r="E32" s="35">
        <v>4745</v>
      </c>
      <c r="F32" s="35">
        <v>6593</v>
      </c>
      <c r="G32" s="35"/>
      <c r="H32" s="35">
        <v>962</v>
      </c>
      <c r="I32" s="35">
        <v>8656</v>
      </c>
      <c r="J32" s="35">
        <v>25877</v>
      </c>
    </row>
    <row r="33" spans="1:10" x14ac:dyDescent="0.25">
      <c r="A33" s="34" t="s">
        <v>44</v>
      </c>
      <c r="B33" s="35">
        <v>18290</v>
      </c>
      <c r="C33" s="35">
        <v>888</v>
      </c>
      <c r="D33" s="35">
        <v>13039</v>
      </c>
      <c r="E33" s="35"/>
      <c r="F33" s="35">
        <v>12010</v>
      </c>
      <c r="G33" s="35">
        <v>13272</v>
      </c>
      <c r="H33" s="35">
        <v>5498</v>
      </c>
      <c r="I33" s="35">
        <v>8263</v>
      </c>
      <c r="J33" s="35">
        <v>71260</v>
      </c>
    </row>
    <row r="34" spans="1:10" x14ac:dyDescent="0.25">
      <c r="A34" s="34" t="s">
        <v>50</v>
      </c>
      <c r="B34" s="35">
        <v>15144</v>
      </c>
      <c r="C34" s="35"/>
      <c r="D34" s="35">
        <v>8661</v>
      </c>
      <c r="E34" s="35">
        <v>25728</v>
      </c>
      <c r="F34" s="35">
        <v>7215</v>
      </c>
      <c r="G34" s="35">
        <v>2847</v>
      </c>
      <c r="H34" s="35">
        <v>22308</v>
      </c>
      <c r="I34" s="35">
        <v>1815</v>
      </c>
      <c r="J34" s="35">
        <v>83718</v>
      </c>
    </row>
    <row r="35" spans="1:10" x14ac:dyDescent="0.25">
      <c r="A35" s="34" t="s">
        <v>30</v>
      </c>
      <c r="B35" s="35">
        <v>5822</v>
      </c>
      <c r="C35" s="35">
        <v>10051</v>
      </c>
      <c r="D35" s="35">
        <v>522</v>
      </c>
      <c r="E35" s="35">
        <v>17243</v>
      </c>
      <c r="F35" s="35">
        <v>15687</v>
      </c>
      <c r="G35" s="35">
        <v>673</v>
      </c>
      <c r="H35" s="35"/>
      <c r="I35" s="35"/>
      <c r="J35" s="35">
        <v>49998</v>
      </c>
    </row>
    <row r="36" spans="1:10" x14ac:dyDescent="0.25">
      <c r="A36" s="34" t="s">
        <v>34</v>
      </c>
      <c r="B36" s="35">
        <v>3830</v>
      </c>
      <c r="C36" s="35">
        <v>4187</v>
      </c>
      <c r="D36" s="35">
        <v>12532</v>
      </c>
      <c r="E36" s="35"/>
      <c r="F36" s="35">
        <v>6954</v>
      </c>
      <c r="G36" s="35">
        <v>8250</v>
      </c>
      <c r="H36" s="35"/>
      <c r="I36" s="35">
        <v>8974</v>
      </c>
      <c r="J36" s="35">
        <v>44727</v>
      </c>
    </row>
    <row r="37" spans="1:10" x14ac:dyDescent="0.25">
      <c r="A37" s="34" t="s">
        <v>55</v>
      </c>
      <c r="B37" s="35"/>
      <c r="C37" s="35"/>
      <c r="D37" s="35">
        <v>5908</v>
      </c>
      <c r="E37" s="35"/>
      <c r="F37" s="35"/>
      <c r="G37" s="35"/>
      <c r="H37" s="35"/>
      <c r="I37" s="35">
        <v>4767</v>
      </c>
      <c r="J37" s="35">
        <v>10675</v>
      </c>
    </row>
    <row r="38" spans="1:10" x14ac:dyDescent="0.25">
      <c r="A38" s="34" t="s">
        <v>26</v>
      </c>
      <c r="B38" s="35">
        <v>8287</v>
      </c>
      <c r="C38" s="35">
        <v>8975</v>
      </c>
      <c r="D38" s="35">
        <v>13982</v>
      </c>
      <c r="E38" s="35">
        <v>10072</v>
      </c>
      <c r="F38" s="35">
        <v>1779</v>
      </c>
      <c r="G38" s="35">
        <v>2924</v>
      </c>
      <c r="H38" s="35">
        <v>948</v>
      </c>
      <c r="I38" s="35"/>
      <c r="J38" s="35">
        <v>46967</v>
      </c>
    </row>
    <row r="39" spans="1:10" x14ac:dyDescent="0.25">
      <c r="A39" s="34" t="s">
        <v>39</v>
      </c>
      <c r="B39" s="35">
        <v>273</v>
      </c>
      <c r="C39" s="35"/>
      <c r="D39" s="35">
        <v>15078</v>
      </c>
      <c r="E39" s="35">
        <v>2125</v>
      </c>
      <c r="F39" s="35">
        <v>4901</v>
      </c>
      <c r="G39" s="35">
        <v>11837</v>
      </c>
      <c r="H39" s="35">
        <v>5070</v>
      </c>
      <c r="I39" s="35">
        <v>9424</v>
      </c>
      <c r="J39" s="35">
        <v>48708</v>
      </c>
    </row>
    <row r="40" spans="1:10" x14ac:dyDescent="0.25">
      <c r="A40" s="34" t="s">
        <v>58</v>
      </c>
      <c r="B40" s="35"/>
      <c r="C40" s="35">
        <v>4085</v>
      </c>
      <c r="D40" s="35"/>
      <c r="E40" s="35"/>
      <c r="F40" s="35"/>
      <c r="G40" s="35"/>
      <c r="H40" s="35">
        <v>2225</v>
      </c>
      <c r="I40" s="35">
        <v>7327</v>
      </c>
      <c r="J40" s="35">
        <v>13637</v>
      </c>
    </row>
    <row r="41" spans="1:10" x14ac:dyDescent="0.25">
      <c r="A41" s="34" t="s">
        <v>37</v>
      </c>
      <c r="B41" s="35"/>
      <c r="C41" s="35">
        <v>3856</v>
      </c>
      <c r="D41" s="35">
        <v>14710</v>
      </c>
      <c r="E41" s="35"/>
      <c r="F41" s="35"/>
      <c r="G41" s="35"/>
      <c r="H41" s="35">
        <v>1485</v>
      </c>
      <c r="I41" s="35"/>
      <c r="J41" s="35">
        <v>20051</v>
      </c>
    </row>
    <row r="42" spans="1:10" x14ac:dyDescent="0.25">
      <c r="A42" s="34" t="s">
        <v>145</v>
      </c>
      <c r="B42" s="35">
        <v>61571</v>
      </c>
      <c r="C42" s="35">
        <v>54768</v>
      </c>
      <c r="D42" s="35">
        <v>97967</v>
      </c>
      <c r="E42" s="35">
        <v>64663</v>
      </c>
      <c r="F42" s="35">
        <v>92040</v>
      </c>
      <c r="G42" s="35">
        <v>49480</v>
      </c>
      <c r="H42" s="35">
        <v>43156</v>
      </c>
      <c r="I42" s="35">
        <v>49226</v>
      </c>
      <c r="J42" s="35">
        <v>512871</v>
      </c>
    </row>
    <row r="45" spans="1:10" ht="30" x14ac:dyDescent="0.25">
      <c r="A45" s="44" t="s">
        <v>1</v>
      </c>
      <c r="B45" s="45" t="s">
        <v>148</v>
      </c>
    </row>
    <row r="46" spans="1:10" x14ac:dyDescent="0.25">
      <c r="A46" s="34" t="s">
        <v>41</v>
      </c>
      <c r="B46" s="38">
        <v>0.15542251512455521</v>
      </c>
    </row>
    <row r="47" spans="1:10" x14ac:dyDescent="0.25">
      <c r="A47" s="34" t="s">
        <v>14</v>
      </c>
      <c r="B47" s="38">
        <v>0.10261661100730698</v>
      </c>
    </row>
    <row r="48" spans="1:10" x14ac:dyDescent="0.25">
      <c r="A48" s="34" t="s">
        <v>19</v>
      </c>
      <c r="B48" s="38">
        <v>6.6767147625977866E-2</v>
      </c>
    </row>
    <row r="49" spans="1:2" x14ac:dyDescent="0.25">
      <c r="A49" s="34" t="s">
        <v>24</v>
      </c>
      <c r="B49" s="38">
        <v>0.24295035565725198</v>
      </c>
    </row>
    <row r="50" spans="1:2" x14ac:dyDescent="0.25">
      <c r="A50" s="34" t="s">
        <v>71</v>
      </c>
      <c r="B50" s="38">
        <v>0.10231403421312558</v>
      </c>
    </row>
    <row r="51" spans="1:2" x14ac:dyDescent="0.25">
      <c r="A51" s="34" t="s">
        <v>98</v>
      </c>
      <c r="B51" s="38">
        <v>4.1087784182110662E-2</v>
      </c>
    </row>
    <row r="52" spans="1:2" x14ac:dyDescent="0.25">
      <c r="A52" s="34" t="s">
        <v>28</v>
      </c>
      <c r="B52" s="38">
        <v>0.28884155218967184</v>
      </c>
    </row>
    <row r="53" spans="1:2" x14ac:dyDescent="0.25">
      <c r="A53" s="34" t="s">
        <v>145</v>
      </c>
      <c r="B53" s="38">
        <v>1</v>
      </c>
    </row>
    <row r="55" spans="1:2" ht="13.5" customHeight="1" x14ac:dyDescent="0.25"/>
    <row r="56" spans="1:2" ht="6" hidden="1" customHeight="1" x14ac:dyDescent="0.25"/>
    <row r="57" spans="1:2" ht="33.75" customHeight="1" x14ac:dyDescent="0.25">
      <c r="A57" s="44" t="s">
        <v>147</v>
      </c>
      <c r="B57" s="45" t="s">
        <v>149</v>
      </c>
    </row>
    <row r="58" spans="1:2" x14ac:dyDescent="0.25">
      <c r="A58" s="34" t="s">
        <v>16</v>
      </c>
      <c r="B58" s="35">
        <v>3886643.7</v>
      </c>
    </row>
    <row r="59" spans="1:2" x14ac:dyDescent="0.25">
      <c r="A59" s="34" t="s">
        <v>52</v>
      </c>
      <c r="B59" s="35">
        <v>888047.27999999991</v>
      </c>
    </row>
    <row r="60" spans="1:2" x14ac:dyDescent="0.25">
      <c r="A60" s="34" t="s">
        <v>21</v>
      </c>
      <c r="B60" s="35">
        <v>2292443.4299999997</v>
      </c>
    </row>
    <row r="61" spans="1:2" x14ac:dyDescent="0.25">
      <c r="A61" s="34" t="s">
        <v>44</v>
      </c>
      <c r="B61" s="35">
        <v>5233334.4000000004</v>
      </c>
    </row>
    <row r="62" spans="1:2" x14ac:dyDescent="0.25">
      <c r="A62" s="34" t="s">
        <v>50</v>
      </c>
      <c r="B62" s="35">
        <v>14556048.66</v>
      </c>
    </row>
    <row r="63" spans="1:2" x14ac:dyDescent="0.25">
      <c r="A63" s="34" t="s">
        <v>30</v>
      </c>
      <c r="B63" s="35">
        <v>120495.18</v>
      </c>
    </row>
    <row r="64" spans="1:2" x14ac:dyDescent="0.25">
      <c r="A64" s="34" t="s">
        <v>34</v>
      </c>
      <c r="B64" s="35">
        <v>7412605.7100000009</v>
      </c>
    </row>
    <row r="65" spans="1:2" x14ac:dyDescent="0.25">
      <c r="A65" s="34" t="s">
        <v>55</v>
      </c>
      <c r="B65" s="35">
        <v>610610</v>
      </c>
    </row>
    <row r="66" spans="1:2" x14ac:dyDescent="0.25">
      <c r="A66" s="34" t="s">
        <v>26</v>
      </c>
      <c r="B66" s="35">
        <v>5929583.75</v>
      </c>
    </row>
    <row r="67" spans="1:2" x14ac:dyDescent="0.25">
      <c r="A67" s="34" t="s">
        <v>39</v>
      </c>
      <c r="B67" s="35">
        <v>1220622.48</v>
      </c>
    </row>
    <row r="68" spans="1:2" x14ac:dyDescent="0.25">
      <c r="A68" s="34" t="s">
        <v>58</v>
      </c>
      <c r="B68" s="35">
        <v>751944.18</v>
      </c>
    </row>
    <row r="69" spans="1:2" x14ac:dyDescent="0.25">
      <c r="A69" s="34" t="s">
        <v>37</v>
      </c>
      <c r="B69" s="35">
        <v>1265819.6300000001</v>
      </c>
    </row>
    <row r="70" spans="1:2" x14ac:dyDescent="0.25">
      <c r="A70" s="34" t="s">
        <v>145</v>
      </c>
      <c r="B70" s="35">
        <v>44168198.399999999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376A-B51F-49A6-BF87-9144BF926338}">
  <sheetPr>
    <tabColor rgb="FFFFFF00"/>
  </sheetPr>
  <dimension ref="A1:O102"/>
  <sheetViews>
    <sheetView workbookViewId="0">
      <selection activeCell="Q23" sqref="Q23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customWidth="1"/>
    <col min="4" max="4" width="13.42578125" bestFit="1" customWidth="1"/>
    <col min="5" max="5" width="13.28515625" bestFit="1" customWidth="1"/>
    <col min="6" max="6" width="10.7109375" style="2" bestFit="1" customWidth="1"/>
    <col min="7" max="7" width="5" style="3" bestFit="1" customWidth="1"/>
    <col min="8" max="8" width="10" style="1" bestFit="1" customWidth="1"/>
    <col min="9" max="9" width="10.7109375" style="2" bestFit="1" customWidth="1"/>
    <col min="10" max="10" width="11.28515625" style="5" bestFit="1" customWidth="1"/>
    <col min="11" max="11" width="12.42578125" style="1" bestFit="1" customWidth="1"/>
    <col min="12" max="12" width="11.85546875" style="1" bestFit="1" customWidth="1"/>
    <col min="13" max="13" width="17.42578125" style="4" bestFit="1" customWidth="1"/>
    <col min="14" max="14" width="14.140625" style="4" bestFit="1" customWidth="1"/>
    <col min="15" max="15" width="15.28515625" style="4" bestFit="1" customWidth="1"/>
  </cols>
  <sheetData>
    <row r="1" spans="1:1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115</v>
      </c>
      <c r="H1" s="15" t="s">
        <v>6</v>
      </c>
      <c r="I1" s="13" t="s">
        <v>7</v>
      </c>
      <c r="J1" s="16" t="s">
        <v>8</v>
      </c>
      <c r="K1" s="15" t="s">
        <v>116</v>
      </c>
      <c r="L1" s="15" t="s">
        <v>117</v>
      </c>
      <c r="M1" s="17" t="s">
        <v>118</v>
      </c>
      <c r="N1" s="17" t="s">
        <v>119</v>
      </c>
      <c r="O1" s="17" t="s">
        <v>120</v>
      </c>
    </row>
    <row r="2" spans="1:15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40326</v>
      </c>
      <c r="G2" s="8">
        <f>YEAR(F2)</f>
        <v>2010</v>
      </c>
      <c r="H2" s="9">
        <v>669165933</v>
      </c>
      <c r="I2" s="7">
        <v>40356</v>
      </c>
      <c r="J2" s="10">
        <v>9925</v>
      </c>
      <c r="K2" s="9">
        <v>255.28</v>
      </c>
      <c r="L2" s="9">
        <v>159.41999999999999</v>
      </c>
      <c r="M2" s="11">
        <v>2533654</v>
      </c>
      <c r="N2" s="11">
        <v>1582243.5</v>
      </c>
      <c r="O2" s="11">
        <v>951410.5</v>
      </c>
    </row>
    <row r="3" spans="1:15" x14ac:dyDescent="0.2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7">
        <v>41143</v>
      </c>
      <c r="G3" s="8">
        <f>YEAR(F3)</f>
        <v>2012</v>
      </c>
      <c r="H3" s="9">
        <v>963881480</v>
      </c>
      <c r="I3" s="7">
        <v>41167</v>
      </c>
      <c r="J3" s="10">
        <v>2804</v>
      </c>
      <c r="K3" s="9">
        <v>205.7</v>
      </c>
      <c r="L3" s="9">
        <v>117.11</v>
      </c>
      <c r="M3" s="11">
        <v>576782.80000000005</v>
      </c>
      <c r="N3" s="11">
        <v>328376.44</v>
      </c>
      <c r="O3" s="11">
        <v>248406.36</v>
      </c>
    </row>
    <row r="4" spans="1:15" x14ac:dyDescent="0.25">
      <c r="A4" s="6" t="s">
        <v>24</v>
      </c>
      <c r="B4" s="6" t="s">
        <v>25</v>
      </c>
      <c r="C4" s="6" t="s">
        <v>26</v>
      </c>
      <c r="D4" s="6" t="s">
        <v>17</v>
      </c>
      <c r="E4" s="6" t="s">
        <v>27</v>
      </c>
      <c r="F4" s="7">
        <v>41761</v>
      </c>
      <c r="G4" s="8">
        <f>YEAR(F4)</f>
        <v>2014</v>
      </c>
      <c r="H4" s="9">
        <v>341417157</v>
      </c>
      <c r="I4" s="7">
        <v>41767</v>
      </c>
      <c r="J4" s="10">
        <v>1779</v>
      </c>
      <c r="K4" s="9">
        <v>651.21</v>
      </c>
      <c r="L4" s="9">
        <v>524.96</v>
      </c>
      <c r="M4" s="11">
        <v>1158502.5900000001</v>
      </c>
      <c r="N4" s="11">
        <v>933903.84</v>
      </c>
      <c r="O4" s="11">
        <v>224598.75</v>
      </c>
    </row>
    <row r="5" spans="1:15" x14ac:dyDescent="0.25">
      <c r="A5" s="6" t="s">
        <v>28</v>
      </c>
      <c r="B5" s="6" t="s">
        <v>29</v>
      </c>
      <c r="C5" s="6" t="s">
        <v>30</v>
      </c>
      <c r="D5" s="6" t="s">
        <v>22</v>
      </c>
      <c r="E5" s="6" t="s">
        <v>23</v>
      </c>
      <c r="F5" s="7">
        <v>41810</v>
      </c>
      <c r="G5" s="8">
        <f t="shared" ref="G5:G68" si="0">YEAR(F5)</f>
        <v>2014</v>
      </c>
      <c r="H5" s="9">
        <v>514321792</v>
      </c>
      <c r="I5" s="7">
        <v>41825</v>
      </c>
      <c r="J5" s="10">
        <v>8102</v>
      </c>
      <c r="K5" s="9">
        <v>9.33</v>
      </c>
      <c r="L5" s="9">
        <v>6.92</v>
      </c>
      <c r="M5" s="11">
        <v>75591.66</v>
      </c>
      <c r="N5" s="11">
        <v>56065.84</v>
      </c>
      <c r="O5" s="11">
        <v>19525.82</v>
      </c>
    </row>
    <row r="6" spans="1:15" x14ac:dyDescent="0.25">
      <c r="A6" s="6" t="s">
        <v>28</v>
      </c>
      <c r="B6" s="6" t="s">
        <v>31</v>
      </c>
      <c r="C6" s="6" t="s">
        <v>26</v>
      </c>
      <c r="D6" s="6" t="s">
        <v>17</v>
      </c>
      <c r="E6" s="6" t="s">
        <v>27</v>
      </c>
      <c r="F6" s="7">
        <v>41306</v>
      </c>
      <c r="G6" s="8">
        <f t="shared" si="0"/>
        <v>2013</v>
      </c>
      <c r="H6" s="9">
        <v>115456712</v>
      </c>
      <c r="I6" s="7">
        <v>41311</v>
      </c>
      <c r="J6" s="10">
        <v>5062</v>
      </c>
      <c r="K6" s="9">
        <v>651.21</v>
      </c>
      <c r="L6" s="9">
        <v>524.96</v>
      </c>
      <c r="M6" s="11">
        <v>3296425.02</v>
      </c>
      <c r="N6" s="11">
        <v>2657347.52</v>
      </c>
      <c r="O6" s="11">
        <v>639077.5</v>
      </c>
    </row>
    <row r="7" spans="1:15" x14ac:dyDescent="0.25">
      <c r="A7" s="6" t="s">
        <v>14</v>
      </c>
      <c r="B7" s="6" t="s">
        <v>32</v>
      </c>
      <c r="C7" s="6" t="s">
        <v>16</v>
      </c>
      <c r="D7" s="6" t="s">
        <v>22</v>
      </c>
      <c r="E7" s="6" t="s">
        <v>23</v>
      </c>
      <c r="F7" s="7">
        <v>42039</v>
      </c>
      <c r="G7" s="8">
        <f t="shared" si="0"/>
        <v>2015</v>
      </c>
      <c r="H7" s="9">
        <v>547995746</v>
      </c>
      <c r="I7" s="7">
        <v>42056</v>
      </c>
      <c r="J7" s="10">
        <v>2974</v>
      </c>
      <c r="K7" s="9">
        <v>255.28</v>
      </c>
      <c r="L7" s="9">
        <v>159.41999999999999</v>
      </c>
      <c r="M7" s="11">
        <v>759202.72</v>
      </c>
      <c r="N7" s="11">
        <v>474115.08</v>
      </c>
      <c r="O7" s="11">
        <v>285087.64</v>
      </c>
    </row>
    <row r="8" spans="1:15" x14ac:dyDescent="0.25">
      <c r="A8" s="6" t="s">
        <v>28</v>
      </c>
      <c r="B8" s="6" t="s">
        <v>33</v>
      </c>
      <c r="C8" s="6" t="s">
        <v>34</v>
      </c>
      <c r="D8" s="6" t="s">
        <v>17</v>
      </c>
      <c r="E8" s="6" t="s">
        <v>35</v>
      </c>
      <c r="F8" s="7">
        <v>40656</v>
      </c>
      <c r="G8" s="8">
        <f t="shared" si="0"/>
        <v>2011</v>
      </c>
      <c r="H8" s="9">
        <v>135425221</v>
      </c>
      <c r="I8" s="7">
        <v>40660</v>
      </c>
      <c r="J8" s="10">
        <v>4187</v>
      </c>
      <c r="K8" s="9">
        <v>668.27</v>
      </c>
      <c r="L8" s="9">
        <v>502.54</v>
      </c>
      <c r="M8" s="11">
        <v>2798046.49</v>
      </c>
      <c r="N8" s="11">
        <v>2104134.98</v>
      </c>
      <c r="O8" s="11">
        <v>693911.51</v>
      </c>
    </row>
    <row r="9" spans="1:15" x14ac:dyDescent="0.25">
      <c r="A9" s="6" t="s">
        <v>28</v>
      </c>
      <c r="B9" s="6" t="s">
        <v>36</v>
      </c>
      <c r="C9" s="6" t="s">
        <v>37</v>
      </c>
      <c r="D9" s="6" t="s">
        <v>22</v>
      </c>
      <c r="E9" s="6" t="s">
        <v>18</v>
      </c>
      <c r="F9" s="7">
        <v>41107</v>
      </c>
      <c r="G9" s="8">
        <f t="shared" si="0"/>
        <v>2012</v>
      </c>
      <c r="H9" s="9">
        <v>871543967</v>
      </c>
      <c r="I9" s="7">
        <v>41117</v>
      </c>
      <c r="J9" s="10">
        <v>8082</v>
      </c>
      <c r="K9" s="9">
        <v>154.06</v>
      </c>
      <c r="L9" s="9">
        <v>90.93</v>
      </c>
      <c r="M9" s="11">
        <v>1245112.92</v>
      </c>
      <c r="N9" s="11">
        <v>734896.26</v>
      </c>
      <c r="O9" s="11">
        <v>510216.66</v>
      </c>
    </row>
    <row r="10" spans="1:15" x14ac:dyDescent="0.25">
      <c r="A10" s="6" t="s">
        <v>28</v>
      </c>
      <c r="B10" s="6" t="s">
        <v>38</v>
      </c>
      <c r="C10" s="6" t="s">
        <v>39</v>
      </c>
      <c r="D10" s="6" t="s">
        <v>17</v>
      </c>
      <c r="E10" s="6" t="s">
        <v>35</v>
      </c>
      <c r="F10" s="7">
        <v>42199</v>
      </c>
      <c r="G10" s="8">
        <f t="shared" si="0"/>
        <v>2015</v>
      </c>
      <c r="H10" s="9">
        <v>770463311</v>
      </c>
      <c r="I10" s="7">
        <v>42241</v>
      </c>
      <c r="J10" s="10">
        <v>6070</v>
      </c>
      <c r="K10" s="9">
        <v>81.73</v>
      </c>
      <c r="L10" s="9">
        <v>56.67</v>
      </c>
      <c r="M10" s="11">
        <v>496101.1</v>
      </c>
      <c r="N10" s="11">
        <v>343986.9</v>
      </c>
      <c r="O10" s="11">
        <v>152114.20000000001</v>
      </c>
    </row>
    <row r="11" spans="1:15" x14ac:dyDescent="0.25">
      <c r="A11" s="6" t="s">
        <v>28</v>
      </c>
      <c r="B11" s="6" t="s">
        <v>40</v>
      </c>
      <c r="C11" s="6" t="s">
        <v>21</v>
      </c>
      <c r="D11" s="6" t="s">
        <v>22</v>
      </c>
      <c r="E11" s="6" t="s">
        <v>18</v>
      </c>
      <c r="F11" s="7">
        <v>41747</v>
      </c>
      <c r="G11" s="8">
        <f t="shared" si="0"/>
        <v>2014</v>
      </c>
      <c r="H11" s="9">
        <v>616607081</v>
      </c>
      <c r="I11" s="7">
        <v>41789</v>
      </c>
      <c r="J11" s="10">
        <v>6593</v>
      </c>
      <c r="K11" s="9">
        <v>205.7</v>
      </c>
      <c r="L11" s="9">
        <v>117.11</v>
      </c>
      <c r="M11" s="11">
        <v>1356180.1</v>
      </c>
      <c r="N11" s="11">
        <v>772106.23</v>
      </c>
      <c r="O11" s="11">
        <v>584073.87</v>
      </c>
    </row>
    <row r="12" spans="1:15" x14ac:dyDescent="0.25">
      <c r="A12" s="6" t="s">
        <v>41</v>
      </c>
      <c r="B12" s="6" t="s">
        <v>42</v>
      </c>
      <c r="C12" s="6" t="s">
        <v>37</v>
      </c>
      <c r="D12" s="6" t="s">
        <v>22</v>
      </c>
      <c r="E12" s="6" t="s">
        <v>18</v>
      </c>
      <c r="F12" s="7">
        <v>40718</v>
      </c>
      <c r="G12" s="8">
        <f t="shared" si="0"/>
        <v>2011</v>
      </c>
      <c r="H12" s="9">
        <v>814711606</v>
      </c>
      <c r="I12" s="7">
        <v>40736</v>
      </c>
      <c r="J12" s="10">
        <v>124</v>
      </c>
      <c r="K12" s="9">
        <v>154.06</v>
      </c>
      <c r="L12" s="9">
        <v>90.93</v>
      </c>
      <c r="M12" s="11">
        <v>19103.439999999999</v>
      </c>
      <c r="N12" s="11">
        <v>11275.32</v>
      </c>
      <c r="O12" s="11">
        <v>7828.12</v>
      </c>
    </row>
    <row r="13" spans="1:15" x14ac:dyDescent="0.25">
      <c r="A13" s="6" t="s">
        <v>28</v>
      </c>
      <c r="B13" s="6" t="s">
        <v>43</v>
      </c>
      <c r="C13" s="6" t="s">
        <v>44</v>
      </c>
      <c r="D13" s="6" t="s">
        <v>17</v>
      </c>
      <c r="E13" s="6" t="s">
        <v>18</v>
      </c>
      <c r="F13" s="7">
        <v>41853</v>
      </c>
      <c r="G13" s="8">
        <f t="shared" si="0"/>
        <v>2014</v>
      </c>
      <c r="H13" s="9">
        <v>939825713</v>
      </c>
      <c r="I13" s="7">
        <v>41870</v>
      </c>
      <c r="J13" s="10">
        <v>4168</v>
      </c>
      <c r="K13" s="9">
        <v>109.28</v>
      </c>
      <c r="L13" s="9">
        <v>35.840000000000003</v>
      </c>
      <c r="M13" s="11">
        <v>455479.03999999998</v>
      </c>
      <c r="N13" s="11">
        <v>149381.12</v>
      </c>
      <c r="O13" s="11">
        <v>306097.91999999998</v>
      </c>
    </row>
    <row r="14" spans="1:15" x14ac:dyDescent="0.25">
      <c r="A14" s="6" t="s">
        <v>41</v>
      </c>
      <c r="B14" s="6" t="s">
        <v>45</v>
      </c>
      <c r="C14" s="6" t="s">
        <v>44</v>
      </c>
      <c r="D14" s="6" t="s">
        <v>22</v>
      </c>
      <c r="E14" s="6" t="s">
        <v>27</v>
      </c>
      <c r="F14" s="7">
        <v>42748</v>
      </c>
      <c r="G14" s="8">
        <f t="shared" si="0"/>
        <v>2017</v>
      </c>
      <c r="H14" s="9">
        <v>187310731</v>
      </c>
      <c r="I14" s="7">
        <v>42795</v>
      </c>
      <c r="J14" s="10">
        <v>8263</v>
      </c>
      <c r="K14" s="9">
        <v>109.28</v>
      </c>
      <c r="L14" s="9">
        <v>35.840000000000003</v>
      </c>
      <c r="M14" s="11">
        <v>902980.64</v>
      </c>
      <c r="N14" s="11">
        <v>296145.91999999998</v>
      </c>
      <c r="O14" s="11">
        <v>606834.72</v>
      </c>
    </row>
    <row r="15" spans="1:15" x14ac:dyDescent="0.25">
      <c r="A15" s="6" t="s">
        <v>19</v>
      </c>
      <c r="B15" s="6" t="s">
        <v>46</v>
      </c>
      <c r="C15" s="6" t="s">
        <v>34</v>
      </c>
      <c r="D15" s="6" t="s">
        <v>17</v>
      </c>
      <c r="E15" s="6" t="s">
        <v>18</v>
      </c>
      <c r="F15" s="7">
        <v>42774</v>
      </c>
      <c r="G15" s="8">
        <f t="shared" si="0"/>
        <v>2017</v>
      </c>
      <c r="H15" s="9">
        <v>522840487</v>
      </c>
      <c r="I15" s="7">
        <v>42779</v>
      </c>
      <c r="J15" s="10">
        <v>8974</v>
      </c>
      <c r="K15" s="9">
        <v>668.27</v>
      </c>
      <c r="L15" s="9">
        <v>502.54</v>
      </c>
      <c r="M15" s="11">
        <v>5997054.9800000004</v>
      </c>
      <c r="N15" s="11">
        <v>4509793.96</v>
      </c>
      <c r="O15" s="11">
        <v>1487261.02</v>
      </c>
    </row>
    <row r="16" spans="1:15" x14ac:dyDescent="0.25">
      <c r="A16" s="6" t="s">
        <v>41</v>
      </c>
      <c r="B16" s="6" t="s">
        <v>47</v>
      </c>
      <c r="C16" s="6" t="s">
        <v>39</v>
      </c>
      <c r="D16" s="6" t="s">
        <v>17</v>
      </c>
      <c r="E16" s="6" t="s">
        <v>23</v>
      </c>
      <c r="F16" s="7">
        <v>41689</v>
      </c>
      <c r="G16" s="8">
        <f t="shared" si="0"/>
        <v>2014</v>
      </c>
      <c r="H16" s="9">
        <v>832401311</v>
      </c>
      <c r="I16" s="7">
        <v>41693</v>
      </c>
      <c r="J16" s="10">
        <v>4901</v>
      </c>
      <c r="K16" s="9">
        <v>81.73</v>
      </c>
      <c r="L16" s="9">
        <v>56.67</v>
      </c>
      <c r="M16" s="11">
        <v>400558.73</v>
      </c>
      <c r="N16" s="11">
        <v>277739.67</v>
      </c>
      <c r="O16" s="11">
        <v>122819.06</v>
      </c>
    </row>
    <row r="17" spans="1:15" x14ac:dyDescent="0.25">
      <c r="A17" s="6" t="s">
        <v>24</v>
      </c>
      <c r="B17" s="6" t="s">
        <v>48</v>
      </c>
      <c r="C17" s="6" t="s">
        <v>44</v>
      </c>
      <c r="D17" s="6" t="s">
        <v>22</v>
      </c>
      <c r="E17" s="6" t="s">
        <v>35</v>
      </c>
      <c r="F17" s="7">
        <v>41022</v>
      </c>
      <c r="G17" s="8">
        <f t="shared" si="0"/>
        <v>2012</v>
      </c>
      <c r="H17" s="9">
        <v>972292029</v>
      </c>
      <c r="I17" s="7">
        <v>41063</v>
      </c>
      <c r="J17" s="10">
        <v>1673</v>
      </c>
      <c r="K17" s="9">
        <v>109.28</v>
      </c>
      <c r="L17" s="9">
        <v>35.840000000000003</v>
      </c>
      <c r="M17" s="11">
        <v>182825.44</v>
      </c>
      <c r="N17" s="11">
        <v>59960.32</v>
      </c>
      <c r="O17" s="11">
        <v>122865.12</v>
      </c>
    </row>
    <row r="18" spans="1:15" x14ac:dyDescent="0.25">
      <c r="A18" s="6" t="s">
        <v>41</v>
      </c>
      <c r="B18" s="6" t="s">
        <v>49</v>
      </c>
      <c r="C18" s="6" t="s">
        <v>50</v>
      </c>
      <c r="D18" s="6" t="s">
        <v>17</v>
      </c>
      <c r="E18" s="6" t="s">
        <v>35</v>
      </c>
      <c r="F18" s="7">
        <v>42693</v>
      </c>
      <c r="G18" s="8">
        <f t="shared" si="0"/>
        <v>2016</v>
      </c>
      <c r="H18" s="9">
        <v>419123971</v>
      </c>
      <c r="I18" s="7">
        <v>42722</v>
      </c>
      <c r="J18" s="10">
        <v>6952</v>
      </c>
      <c r="K18" s="9">
        <v>437.2</v>
      </c>
      <c r="L18" s="9">
        <v>263.33</v>
      </c>
      <c r="M18" s="11">
        <v>3039414.4</v>
      </c>
      <c r="N18" s="11">
        <v>1830670.16</v>
      </c>
      <c r="O18" s="11">
        <v>1208744.24</v>
      </c>
    </row>
    <row r="19" spans="1:15" x14ac:dyDescent="0.25">
      <c r="A19" s="6" t="s">
        <v>28</v>
      </c>
      <c r="B19" s="6" t="s">
        <v>51</v>
      </c>
      <c r="C19" s="6" t="s">
        <v>52</v>
      </c>
      <c r="D19" s="6" t="s">
        <v>17</v>
      </c>
      <c r="E19" s="6" t="s">
        <v>23</v>
      </c>
      <c r="F19" s="7">
        <v>42095</v>
      </c>
      <c r="G19" s="8">
        <f t="shared" si="0"/>
        <v>2015</v>
      </c>
      <c r="H19" s="9">
        <v>519820964</v>
      </c>
      <c r="I19" s="7">
        <v>42112</v>
      </c>
      <c r="J19" s="10">
        <v>5430</v>
      </c>
      <c r="K19" s="9">
        <v>47.45</v>
      </c>
      <c r="L19" s="9">
        <v>31.79</v>
      </c>
      <c r="M19" s="11">
        <v>257653.5</v>
      </c>
      <c r="N19" s="11">
        <v>172619.7</v>
      </c>
      <c r="O19" s="11">
        <v>85033.8</v>
      </c>
    </row>
    <row r="20" spans="1:15" x14ac:dyDescent="0.25">
      <c r="A20" s="6" t="s">
        <v>41</v>
      </c>
      <c r="B20" s="6" t="s">
        <v>53</v>
      </c>
      <c r="C20" s="6" t="s">
        <v>34</v>
      </c>
      <c r="D20" s="6" t="s">
        <v>17</v>
      </c>
      <c r="E20" s="6" t="s">
        <v>27</v>
      </c>
      <c r="F20" s="7">
        <v>40542</v>
      </c>
      <c r="G20" s="8">
        <f t="shared" si="0"/>
        <v>2010</v>
      </c>
      <c r="H20" s="9">
        <v>441619336</v>
      </c>
      <c r="I20" s="7">
        <v>40563</v>
      </c>
      <c r="J20" s="10">
        <v>3830</v>
      </c>
      <c r="K20" s="9">
        <v>668.27</v>
      </c>
      <c r="L20" s="9">
        <v>502.54</v>
      </c>
      <c r="M20" s="11">
        <v>2559474.1</v>
      </c>
      <c r="N20" s="11">
        <v>1924728.2</v>
      </c>
      <c r="O20" s="11">
        <v>634745.9</v>
      </c>
    </row>
    <row r="21" spans="1:15" x14ac:dyDescent="0.25">
      <c r="A21" s="6" t="s">
        <v>14</v>
      </c>
      <c r="B21" s="6" t="s">
        <v>54</v>
      </c>
      <c r="C21" s="6" t="s">
        <v>55</v>
      </c>
      <c r="D21" s="6" t="s">
        <v>22</v>
      </c>
      <c r="E21" s="6" t="s">
        <v>27</v>
      </c>
      <c r="F21" s="7">
        <v>41121</v>
      </c>
      <c r="G21" s="8">
        <f t="shared" si="0"/>
        <v>2012</v>
      </c>
      <c r="H21" s="9">
        <v>322067916</v>
      </c>
      <c r="I21" s="7">
        <v>41163</v>
      </c>
      <c r="J21" s="10">
        <v>5908</v>
      </c>
      <c r="K21" s="9">
        <v>421.89</v>
      </c>
      <c r="L21" s="9">
        <v>364.69</v>
      </c>
      <c r="M21" s="11">
        <v>2492526.12</v>
      </c>
      <c r="N21" s="11">
        <v>2154588.52</v>
      </c>
      <c r="O21" s="11">
        <v>337937.6</v>
      </c>
    </row>
    <row r="22" spans="1:15" x14ac:dyDescent="0.25">
      <c r="A22" s="6" t="s">
        <v>24</v>
      </c>
      <c r="B22" s="6" t="s">
        <v>56</v>
      </c>
      <c r="C22" s="6" t="s">
        <v>16</v>
      </c>
      <c r="D22" s="6" t="s">
        <v>22</v>
      </c>
      <c r="E22" s="6" t="s">
        <v>27</v>
      </c>
      <c r="F22" s="7">
        <v>41773</v>
      </c>
      <c r="G22" s="8">
        <f t="shared" si="0"/>
        <v>2014</v>
      </c>
      <c r="H22" s="9">
        <v>819028031</v>
      </c>
      <c r="I22" s="7">
        <v>41818</v>
      </c>
      <c r="J22" s="10">
        <v>7450</v>
      </c>
      <c r="K22" s="9">
        <v>255.28</v>
      </c>
      <c r="L22" s="9">
        <v>159.41999999999999</v>
      </c>
      <c r="M22" s="11">
        <v>1901836</v>
      </c>
      <c r="N22" s="11">
        <v>1187679</v>
      </c>
      <c r="O22" s="11">
        <v>714157</v>
      </c>
    </row>
    <row r="23" spans="1:15" x14ac:dyDescent="0.25">
      <c r="A23" s="6" t="s">
        <v>24</v>
      </c>
      <c r="B23" s="6" t="s">
        <v>57</v>
      </c>
      <c r="C23" s="6" t="s">
        <v>16</v>
      </c>
      <c r="D23" s="6" t="s">
        <v>22</v>
      </c>
      <c r="E23" s="6" t="s">
        <v>18</v>
      </c>
      <c r="F23" s="7">
        <v>42216</v>
      </c>
      <c r="G23" s="8">
        <f t="shared" si="0"/>
        <v>2015</v>
      </c>
      <c r="H23" s="9">
        <v>860673511</v>
      </c>
      <c r="I23" s="7">
        <v>42250</v>
      </c>
      <c r="J23" s="10">
        <v>1273</v>
      </c>
      <c r="K23" s="9">
        <v>255.28</v>
      </c>
      <c r="L23" s="9">
        <v>159.41999999999999</v>
      </c>
      <c r="M23" s="11">
        <v>324971.44</v>
      </c>
      <c r="N23" s="11">
        <v>202941.66</v>
      </c>
      <c r="O23" s="11">
        <v>122029.78</v>
      </c>
    </row>
    <row r="24" spans="1:15" x14ac:dyDescent="0.25">
      <c r="A24" s="6" t="s">
        <v>19</v>
      </c>
      <c r="B24" s="6" t="s">
        <v>46</v>
      </c>
      <c r="C24" s="6" t="s">
        <v>58</v>
      </c>
      <c r="D24" s="6" t="s">
        <v>22</v>
      </c>
      <c r="E24" s="6" t="s">
        <v>27</v>
      </c>
      <c r="F24" s="7">
        <v>42551</v>
      </c>
      <c r="G24" s="8">
        <f t="shared" si="0"/>
        <v>2016</v>
      </c>
      <c r="H24" s="9">
        <v>795490682</v>
      </c>
      <c r="I24" s="7">
        <v>42577</v>
      </c>
      <c r="J24" s="10">
        <v>2225</v>
      </c>
      <c r="K24" s="9">
        <v>152.58000000000001</v>
      </c>
      <c r="L24" s="9">
        <v>97.44</v>
      </c>
      <c r="M24" s="11">
        <v>339490.5</v>
      </c>
      <c r="N24" s="11">
        <v>216804</v>
      </c>
      <c r="O24" s="11">
        <v>122686.5</v>
      </c>
    </row>
    <row r="25" spans="1:15" x14ac:dyDescent="0.25">
      <c r="A25" s="6" t="s">
        <v>14</v>
      </c>
      <c r="B25" s="6" t="s">
        <v>59</v>
      </c>
      <c r="C25" s="6" t="s">
        <v>30</v>
      </c>
      <c r="D25" s="6" t="s">
        <v>22</v>
      </c>
      <c r="E25" s="6" t="s">
        <v>18</v>
      </c>
      <c r="F25" s="7">
        <v>41890</v>
      </c>
      <c r="G25" s="8">
        <f t="shared" si="0"/>
        <v>2014</v>
      </c>
      <c r="H25" s="9">
        <v>142278373</v>
      </c>
      <c r="I25" s="7">
        <v>41916</v>
      </c>
      <c r="J25" s="10">
        <v>2187</v>
      </c>
      <c r="K25" s="9">
        <v>9.33</v>
      </c>
      <c r="L25" s="9">
        <v>6.92</v>
      </c>
      <c r="M25" s="11">
        <v>20404.71</v>
      </c>
      <c r="N25" s="11">
        <v>15134.04</v>
      </c>
      <c r="O25" s="11">
        <v>5270.67</v>
      </c>
    </row>
    <row r="26" spans="1:15" x14ac:dyDescent="0.25">
      <c r="A26" s="6" t="s">
        <v>24</v>
      </c>
      <c r="B26" s="6" t="s">
        <v>60</v>
      </c>
      <c r="C26" s="6" t="s">
        <v>39</v>
      </c>
      <c r="D26" s="6" t="s">
        <v>22</v>
      </c>
      <c r="E26" s="6" t="s">
        <v>27</v>
      </c>
      <c r="F26" s="7">
        <v>42497</v>
      </c>
      <c r="G26" s="8">
        <f t="shared" si="0"/>
        <v>2016</v>
      </c>
      <c r="H26" s="9">
        <v>740147912</v>
      </c>
      <c r="I26" s="7">
        <v>42500</v>
      </c>
      <c r="J26" s="10">
        <v>5070</v>
      </c>
      <c r="K26" s="9">
        <v>81.73</v>
      </c>
      <c r="L26" s="9">
        <v>56.67</v>
      </c>
      <c r="M26" s="11">
        <v>414371.1</v>
      </c>
      <c r="N26" s="11">
        <v>287316.90000000002</v>
      </c>
      <c r="O26" s="11">
        <v>127054.2</v>
      </c>
    </row>
    <row r="27" spans="1:15" x14ac:dyDescent="0.25">
      <c r="A27" s="6" t="s">
        <v>24</v>
      </c>
      <c r="B27" s="6" t="s">
        <v>61</v>
      </c>
      <c r="C27" s="6" t="s">
        <v>50</v>
      </c>
      <c r="D27" s="6" t="s">
        <v>22</v>
      </c>
      <c r="E27" s="6" t="s">
        <v>18</v>
      </c>
      <c r="F27" s="7">
        <v>42877</v>
      </c>
      <c r="G27" s="8">
        <f t="shared" si="0"/>
        <v>2017</v>
      </c>
      <c r="H27" s="9">
        <v>898523128</v>
      </c>
      <c r="I27" s="7">
        <v>42891</v>
      </c>
      <c r="J27" s="10">
        <v>1815</v>
      </c>
      <c r="K27" s="9">
        <v>437.2</v>
      </c>
      <c r="L27" s="9">
        <v>263.33</v>
      </c>
      <c r="M27" s="11">
        <v>793518</v>
      </c>
      <c r="N27" s="11">
        <v>477943.95</v>
      </c>
      <c r="O27" s="11">
        <v>315574.05</v>
      </c>
    </row>
    <row r="28" spans="1:15" x14ac:dyDescent="0.25">
      <c r="A28" s="6" t="s">
        <v>14</v>
      </c>
      <c r="B28" s="6" t="s">
        <v>62</v>
      </c>
      <c r="C28" s="6" t="s">
        <v>30</v>
      </c>
      <c r="D28" s="6" t="s">
        <v>22</v>
      </c>
      <c r="E28" s="6" t="s">
        <v>35</v>
      </c>
      <c r="F28" s="7">
        <v>41925</v>
      </c>
      <c r="G28" s="8">
        <f t="shared" si="0"/>
        <v>2014</v>
      </c>
      <c r="H28" s="9">
        <v>347140347</v>
      </c>
      <c r="I28" s="7">
        <v>41953</v>
      </c>
      <c r="J28" s="10">
        <v>5398</v>
      </c>
      <c r="K28" s="9">
        <v>9.33</v>
      </c>
      <c r="L28" s="9">
        <v>6.92</v>
      </c>
      <c r="M28" s="11">
        <v>50363.34</v>
      </c>
      <c r="N28" s="11">
        <v>37354.160000000003</v>
      </c>
      <c r="O28" s="11">
        <v>13009.18</v>
      </c>
    </row>
    <row r="29" spans="1:15" x14ac:dyDescent="0.25">
      <c r="A29" s="6" t="s">
        <v>28</v>
      </c>
      <c r="B29" s="6" t="s">
        <v>63</v>
      </c>
      <c r="C29" s="6" t="s">
        <v>30</v>
      </c>
      <c r="D29" s="6" t="s">
        <v>22</v>
      </c>
      <c r="E29" s="6" t="s">
        <v>27</v>
      </c>
      <c r="F29" s="7">
        <v>40305</v>
      </c>
      <c r="G29" s="8">
        <f t="shared" si="0"/>
        <v>2010</v>
      </c>
      <c r="H29" s="9">
        <v>686048400</v>
      </c>
      <c r="I29" s="7">
        <v>40308</v>
      </c>
      <c r="J29" s="10">
        <v>5822</v>
      </c>
      <c r="K29" s="9">
        <v>9.33</v>
      </c>
      <c r="L29" s="9">
        <v>6.92</v>
      </c>
      <c r="M29" s="11">
        <v>54319.26</v>
      </c>
      <c r="N29" s="11">
        <v>40288.239999999998</v>
      </c>
      <c r="O29" s="11">
        <v>14031.02</v>
      </c>
    </row>
    <row r="30" spans="1:15" x14ac:dyDescent="0.25">
      <c r="A30" s="6" t="s">
        <v>24</v>
      </c>
      <c r="B30" s="6" t="s">
        <v>56</v>
      </c>
      <c r="C30" s="6" t="s">
        <v>52</v>
      </c>
      <c r="D30" s="6" t="s">
        <v>17</v>
      </c>
      <c r="E30" s="6" t="s">
        <v>23</v>
      </c>
      <c r="F30" s="7">
        <v>41838</v>
      </c>
      <c r="G30" s="8">
        <f t="shared" si="0"/>
        <v>2014</v>
      </c>
      <c r="H30" s="9">
        <v>435608613</v>
      </c>
      <c r="I30" s="7">
        <v>41850</v>
      </c>
      <c r="J30" s="10">
        <v>5124</v>
      </c>
      <c r="K30" s="9">
        <v>47.45</v>
      </c>
      <c r="L30" s="9">
        <v>31.79</v>
      </c>
      <c r="M30" s="11">
        <v>243133.8</v>
      </c>
      <c r="N30" s="11">
        <v>162891.96</v>
      </c>
      <c r="O30" s="11">
        <v>80241.84</v>
      </c>
    </row>
    <row r="31" spans="1:15" x14ac:dyDescent="0.25">
      <c r="A31" s="6" t="s">
        <v>28</v>
      </c>
      <c r="B31" s="6" t="s">
        <v>64</v>
      </c>
      <c r="C31" s="6" t="s">
        <v>34</v>
      </c>
      <c r="D31" s="6" t="s">
        <v>17</v>
      </c>
      <c r="E31" s="6" t="s">
        <v>27</v>
      </c>
      <c r="F31" s="7">
        <v>41055</v>
      </c>
      <c r="G31" s="8">
        <f t="shared" si="0"/>
        <v>2012</v>
      </c>
      <c r="H31" s="9">
        <v>886494815</v>
      </c>
      <c r="I31" s="7">
        <v>41069</v>
      </c>
      <c r="J31" s="10">
        <v>2370</v>
      </c>
      <c r="K31" s="9">
        <v>668.27</v>
      </c>
      <c r="L31" s="9">
        <v>502.54</v>
      </c>
      <c r="M31" s="11">
        <v>1583799.9</v>
      </c>
      <c r="N31" s="11">
        <v>1191019.8</v>
      </c>
      <c r="O31" s="11">
        <v>392780.1</v>
      </c>
    </row>
    <row r="32" spans="1:15" x14ac:dyDescent="0.25">
      <c r="A32" s="6" t="s">
        <v>24</v>
      </c>
      <c r="B32" s="6" t="s">
        <v>65</v>
      </c>
      <c r="C32" s="6" t="s">
        <v>50</v>
      </c>
      <c r="D32" s="6" t="s">
        <v>17</v>
      </c>
      <c r="E32" s="6" t="s">
        <v>35</v>
      </c>
      <c r="F32" s="7">
        <v>41169</v>
      </c>
      <c r="G32" s="8">
        <f t="shared" si="0"/>
        <v>2012</v>
      </c>
      <c r="H32" s="9">
        <v>249693334</v>
      </c>
      <c r="I32" s="7">
        <v>41202</v>
      </c>
      <c r="J32" s="10">
        <v>8661</v>
      </c>
      <c r="K32" s="9">
        <v>437.2</v>
      </c>
      <c r="L32" s="9">
        <v>263.33</v>
      </c>
      <c r="M32" s="11">
        <v>3786589.2</v>
      </c>
      <c r="N32" s="11">
        <v>2280701.13</v>
      </c>
      <c r="O32" s="11">
        <v>1505888.07</v>
      </c>
    </row>
    <row r="33" spans="1:15" x14ac:dyDescent="0.25">
      <c r="A33" s="6" t="s">
        <v>28</v>
      </c>
      <c r="B33" s="6" t="s">
        <v>66</v>
      </c>
      <c r="C33" s="6" t="s">
        <v>39</v>
      </c>
      <c r="D33" s="6" t="s">
        <v>17</v>
      </c>
      <c r="E33" s="6" t="s">
        <v>23</v>
      </c>
      <c r="F33" s="7">
        <v>41637</v>
      </c>
      <c r="G33" s="8">
        <f t="shared" si="0"/>
        <v>2013</v>
      </c>
      <c r="H33" s="9">
        <v>406502997</v>
      </c>
      <c r="I33" s="7">
        <v>41667</v>
      </c>
      <c r="J33" s="10">
        <v>2125</v>
      </c>
      <c r="K33" s="9">
        <v>81.73</v>
      </c>
      <c r="L33" s="9">
        <v>56.67</v>
      </c>
      <c r="M33" s="11">
        <v>173676.25</v>
      </c>
      <c r="N33" s="11">
        <v>120423.75</v>
      </c>
      <c r="O33" s="11">
        <v>53252.5</v>
      </c>
    </row>
    <row r="34" spans="1:15" x14ac:dyDescent="0.25">
      <c r="A34" s="6" t="s">
        <v>14</v>
      </c>
      <c r="B34" s="6" t="s">
        <v>67</v>
      </c>
      <c r="C34" s="6" t="s">
        <v>26</v>
      </c>
      <c r="D34" s="6" t="s">
        <v>22</v>
      </c>
      <c r="E34" s="6" t="s">
        <v>23</v>
      </c>
      <c r="F34" s="7">
        <v>42304</v>
      </c>
      <c r="G34" s="8">
        <f t="shared" si="0"/>
        <v>2015</v>
      </c>
      <c r="H34" s="9">
        <v>158535134</v>
      </c>
      <c r="I34" s="7">
        <v>42333</v>
      </c>
      <c r="J34" s="10">
        <v>2924</v>
      </c>
      <c r="K34" s="9">
        <v>651.21</v>
      </c>
      <c r="L34" s="9">
        <v>524.96</v>
      </c>
      <c r="M34" s="11">
        <v>1904138.04</v>
      </c>
      <c r="N34" s="11">
        <v>1534983.04</v>
      </c>
      <c r="O34" s="11">
        <v>369155</v>
      </c>
    </row>
    <row r="35" spans="1:15" x14ac:dyDescent="0.25">
      <c r="A35" s="6" t="s">
        <v>41</v>
      </c>
      <c r="B35" s="6" t="s">
        <v>68</v>
      </c>
      <c r="C35" s="6" t="s">
        <v>34</v>
      </c>
      <c r="D35" s="6" t="s">
        <v>17</v>
      </c>
      <c r="E35" s="6" t="s">
        <v>18</v>
      </c>
      <c r="F35" s="7">
        <v>42020</v>
      </c>
      <c r="G35" s="8">
        <f t="shared" si="0"/>
        <v>2015</v>
      </c>
      <c r="H35" s="9">
        <v>177713572</v>
      </c>
      <c r="I35" s="7">
        <v>42064</v>
      </c>
      <c r="J35" s="10">
        <v>8250</v>
      </c>
      <c r="K35" s="9">
        <v>668.27</v>
      </c>
      <c r="L35" s="9">
        <v>502.54</v>
      </c>
      <c r="M35" s="11">
        <v>5513227.5</v>
      </c>
      <c r="N35" s="11">
        <v>4145955</v>
      </c>
      <c r="O35" s="11">
        <v>1367272.5</v>
      </c>
    </row>
    <row r="36" spans="1:15" x14ac:dyDescent="0.25">
      <c r="A36" s="6" t="s">
        <v>28</v>
      </c>
      <c r="B36" s="6" t="s">
        <v>69</v>
      </c>
      <c r="C36" s="6" t="s">
        <v>58</v>
      </c>
      <c r="D36" s="6" t="s">
        <v>22</v>
      </c>
      <c r="E36" s="6" t="s">
        <v>35</v>
      </c>
      <c r="F36" s="7">
        <v>42791</v>
      </c>
      <c r="G36" s="8">
        <f t="shared" si="0"/>
        <v>2017</v>
      </c>
      <c r="H36" s="9">
        <v>756274640</v>
      </c>
      <c r="I36" s="7">
        <v>42791</v>
      </c>
      <c r="J36" s="10">
        <v>7327</v>
      </c>
      <c r="K36" s="9">
        <v>152.58000000000001</v>
      </c>
      <c r="L36" s="9">
        <v>97.44</v>
      </c>
      <c r="M36" s="11">
        <v>1117953.6599999999</v>
      </c>
      <c r="N36" s="11">
        <v>713942.88</v>
      </c>
      <c r="O36" s="11">
        <v>404010.78</v>
      </c>
    </row>
    <row r="37" spans="1:15" x14ac:dyDescent="0.25">
      <c r="A37" s="6" t="s">
        <v>19</v>
      </c>
      <c r="B37" s="6" t="s">
        <v>70</v>
      </c>
      <c r="C37" s="6" t="s">
        <v>39</v>
      </c>
      <c r="D37" s="6" t="s">
        <v>17</v>
      </c>
      <c r="E37" s="6" t="s">
        <v>27</v>
      </c>
      <c r="F37" s="7">
        <v>42863</v>
      </c>
      <c r="G37" s="8">
        <f t="shared" si="0"/>
        <v>2017</v>
      </c>
      <c r="H37" s="9">
        <v>456767165</v>
      </c>
      <c r="I37" s="7">
        <v>42876</v>
      </c>
      <c r="J37" s="10">
        <v>6409</v>
      </c>
      <c r="K37" s="9">
        <v>81.73</v>
      </c>
      <c r="L37" s="9">
        <v>56.67</v>
      </c>
      <c r="M37" s="11">
        <v>523807.57</v>
      </c>
      <c r="N37" s="11">
        <v>363198.03</v>
      </c>
      <c r="O37" s="11">
        <v>160609.54</v>
      </c>
    </row>
    <row r="38" spans="1:15" x14ac:dyDescent="0.25">
      <c r="A38" s="6" t="s">
        <v>71</v>
      </c>
      <c r="B38" s="6" t="s">
        <v>72</v>
      </c>
      <c r="C38" s="6" t="s">
        <v>30</v>
      </c>
      <c r="D38" s="6" t="s">
        <v>22</v>
      </c>
      <c r="E38" s="6" t="s">
        <v>27</v>
      </c>
      <c r="F38" s="7">
        <v>40869</v>
      </c>
      <c r="G38" s="8">
        <f t="shared" si="0"/>
        <v>2011</v>
      </c>
      <c r="H38" s="9">
        <v>162052476</v>
      </c>
      <c r="I38" s="7">
        <v>40880</v>
      </c>
      <c r="J38" s="10">
        <v>3784</v>
      </c>
      <c r="K38" s="9">
        <v>9.33</v>
      </c>
      <c r="L38" s="9">
        <v>6.92</v>
      </c>
      <c r="M38" s="11">
        <v>35304.720000000001</v>
      </c>
      <c r="N38" s="11">
        <v>26185.279999999999</v>
      </c>
      <c r="O38" s="11">
        <v>9119.44</v>
      </c>
    </row>
    <row r="39" spans="1:15" x14ac:dyDescent="0.25">
      <c r="A39" s="6" t="s">
        <v>28</v>
      </c>
      <c r="B39" s="6" t="s">
        <v>64</v>
      </c>
      <c r="C39" s="6" t="s">
        <v>55</v>
      </c>
      <c r="D39" s="6" t="s">
        <v>22</v>
      </c>
      <c r="E39" s="6" t="s">
        <v>35</v>
      </c>
      <c r="F39" s="7">
        <v>42749</v>
      </c>
      <c r="G39" s="8">
        <f t="shared" si="0"/>
        <v>2017</v>
      </c>
      <c r="H39" s="9">
        <v>825304400</v>
      </c>
      <c r="I39" s="7">
        <v>42758</v>
      </c>
      <c r="J39" s="10">
        <v>4767</v>
      </c>
      <c r="K39" s="9">
        <v>421.89</v>
      </c>
      <c r="L39" s="9">
        <v>364.69</v>
      </c>
      <c r="M39" s="11">
        <v>2011149.63</v>
      </c>
      <c r="N39" s="11">
        <v>1738477.23</v>
      </c>
      <c r="O39" s="11">
        <v>272672.40000000002</v>
      </c>
    </row>
    <row r="40" spans="1:15" x14ac:dyDescent="0.25">
      <c r="A40" s="6" t="s">
        <v>41</v>
      </c>
      <c r="B40" s="6" t="s">
        <v>73</v>
      </c>
      <c r="C40" s="6" t="s">
        <v>26</v>
      </c>
      <c r="D40" s="6" t="s">
        <v>22</v>
      </c>
      <c r="E40" s="6" t="s">
        <v>27</v>
      </c>
      <c r="F40" s="7">
        <v>41000</v>
      </c>
      <c r="G40" s="8">
        <f t="shared" si="0"/>
        <v>2012</v>
      </c>
      <c r="H40" s="9">
        <v>320009267</v>
      </c>
      <c r="I40" s="7">
        <v>41037</v>
      </c>
      <c r="J40" s="10">
        <v>6708</v>
      </c>
      <c r="K40" s="9">
        <v>651.21</v>
      </c>
      <c r="L40" s="9">
        <v>524.96</v>
      </c>
      <c r="M40" s="11">
        <v>4368316.68</v>
      </c>
      <c r="N40" s="11">
        <v>3521431.68</v>
      </c>
      <c r="O40" s="11">
        <v>846885</v>
      </c>
    </row>
    <row r="41" spans="1:15" x14ac:dyDescent="0.25">
      <c r="A41" s="6" t="s">
        <v>24</v>
      </c>
      <c r="B41" s="6" t="s">
        <v>48</v>
      </c>
      <c r="C41" s="6" t="s">
        <v>26</v>
      </c>
      <c r="D41" s="6" t="s">
        <v>22</v>
      </c>
      <c r="E41" s="6" t="s">
        <v>35</v>
      </c>
      <c r="F41" s="7">
        <v>40955</v>
      </c>
      <c r="G41" s="8">
        <f t="shared" si="0"/>
        <v>2012</v>
      </c>
      <c r="H41" s="9">
        <v>189965903</v>
      </c>
      <c r="I41" s="7">
        <v>40967</v>
      </c>
      <c r="J41" s="10">
        <v>3987</v>
      </c>
      <c r="K41" s="9">
        <v>651.21</v>
      </c>
      <c r="L41" s="9">
        <v>524.96</v>
      </c>
      <c r="M41" s="11">
        <v>2596374.27</v>
      </c>
      <c r="N41" s="11">
        <v>2093015.52</v>
      </c>
      <c r="O41" s="11">
        <v>503358.75</v>
      </c>
    </row>
    <row r="42" spans="1:15" x14ac:dyDescent="0.25">
      <c r="A42" s="6" t="s">
        <v>28</v>
      </c>
      <c r="B42" s="6" t="s">
        <v>74</v>
      </c>
      <c r="C42" s="6" t="s">
        <v>39</v>
      </c>
      <c r="D42" s="6" t="s">
        <v>22</v>
      </c>
      <c r="E42" s="6" t="s">
        <v>18</v>
      </c>
      <c r="F42" s="7">
        <v>42805</v>
      </c>
      <c r="G42" s="8">
        <f t="shared" si="0"/>
        <v>2017</v>
      </c>
      <c r="H42" s="9">
        <v>699285638</v>
      </c>
      <c r="I42" s="7">
        <v>42822</v>
      </c>
      <c r="J42" s="10">
        <v>3015</v>
      </c>
      <c r="K42" s="9">
        <v>81.73</v>
      </c>
      <c r="L42" s="9">
        <v>56.67</v>
      </c>
      <c r="M42" s="11">
        <v>246415.95</v>
      </c>
      <c r="N42" s="11">
        <v>170860.05</v>
      </c>
      <c r="O42" s="11">
        <v>75555.899999999994</v>
      </c>
    </row>
    <row r="43" spans="1:15" x14ac:dyDescent="0.25">
      <c r="A43" s="6" t="s">
        <v>71</v>
      </c>
      <c r="B43" s="6" t="s">
        <v>75</v>
      </c>
      <c r="C43" s="6" t="s">
        <v>50</v>
      </c>
      <c r="D43" s="6" t="s">
        <v>22</v>
      </c>
      <c r="E43" s="6" t="s">
        <v>35</v>
      </c>
      <c r="F43" s="7">
        <v>40215</v>
      </c>
      <c r="G43" s="8">
        <f t="shared" si="0"/>
        <v>2010</v>
      </c>
      <c r="H43" s="9">
        <v>382392299</v>
      </c>
      <c r="I43" s="7">
        <v>40234</v>
      </c>
      <c r="J43" s="10">
        <v>7234</v>
      </c>
      <c r="K43" s="9">
        <v>437.2</v>
      </c>
      <c r="L43" s="9">
        <v>263.33</v>
      </c>
      <c r="M43" s="11">
        <v>3162704.8</v>
      </c>
      <c r="N43" s="11">
        <v>1904929.22</v>
      </c>
      <c r="O43" s="11">
        <v>1257775.58</v>
      </c>
    </row>
    <row r="44" spans="1:15" x14ac:dyDescent="0.25">
      <c r="A44" s="6" t="s">
        <v>28</v>
      </c>
      <c r="B44" s="6" t="s">
        <v>64</v>
      </c>
      <c r="C44" s="6" t="s">
        <v>21</v>
      </c>
      <c r="D44" s="6" t="s">
        <v>17</v>
      </c>
      <c r="E44" s="6" t="s">
        <v>18</v>
      </c>
      <c r="F44" s="7">
        <v>41067</v>
      </c>
      <c r="G44" s="8">
        <f t="shared" si="0"/>
        <v>2012</v>
      </c>
      <c r="H44" s="9">
        <v>994022214</v>
      </c>
      <c r="I44" s="7">
        <v>41068</v>
      </c>
      <c r="J44" s="10">
        <v>2117</v>
      </c>
      <c r="K44" s="9">
        <v>205.7</v>
      </c>
      <c r="L44" s="9">
        <v>117.11</v>
      </c>
      <c r="M44" s="11">
        <v>435466.9</v>
      </c>
      <c r="N44" s="11">
        <v>247921.87</v>
      </c>
      <c r="O44" s="11">
        <v>187545.03</v>
      </c>
    </row>
    <row r="45" spans="1:15" x14ac:dyDescent="0.25">
      <c r="A45" s="6" t="s">
        <v>24</v>
      </c>
      <c r="B45" s="6" t="s">
        <v>76</v>
      </c>
      <c r="C45" s="6" t="s">
        <v>37</v>
      </c>
      <c r="D45" s="6" t="s">
        <v>22</v>
      </c>
      <c r="E45" s="6" t="s">
        <v>18</v>
      </c>
      <c r="F45" s="7">
        <v>41188</v>
      </c>
      <c r="G45" s="8">
        <f t="shared" si="0"/>
        <v>2012</v>
      </c>
      <c r="H45" s="9">
        <v>759224212</v>
      </c>
      <c r="I45" s="7">
        <v>41223</v>
      </c>
      <c r="J45" s="10">
        <v>171</v>
      </c>
      <c r="K45" s="9">
        <v>154.06</v>
      </c>
      <c r="L45" s="9">
        <v>90.93</v>
      </c>
      <c r="M45" s="11">
        <v>26344.26</v>
      </c>
      <c r="N45" s="11">
        <v>15549.03</v>
      </c>
      <c r="O45" s="11">
        <v>10795.23</v>
      </c>
    </row>
    <row r="46" spans="1:15" x14ac:dyDescent="0.25">
      <c r="A46" s="6" t="s">
        <v>41</v>
      </c>
      <c r="B46" s="6" t="s">
        <v>68</v>
      </c>
      <c r="C46" s="6" t="s">
        <v>44</v>
      </c>
      <c r="D46" s="6" t="s">
        <v>22</v>
      </c>
      <c r="E46" s="6" t="s">
        <v>18</v>
      </c>
      <c r="F46" s="7">
        <v>42322</v>
      </c>
      <c r="G46" s="8">
        <f t="shared" si="0"/>
        <v>2015</v>
      </c>
      <c r="H46" s="9">
        <v>223359620</v>
      </c>
      <c r="I46" s="7">
        <v>42326</v>
      </c>
      <c r="J46" s="10">
        <v>5930</v>
      </c>
      <c r="K46" s="9">
        <v>109.28</v>
      </c>
      <c r="L46" s="9">
        <v>35.840000000000003</v>
      </c>
      <c r="M46" s="11">
        <v>648030.4</v>
      </c>
      <c r="N46" s="11">
        <v>212531.20000000001</v>
      </c>
      <c r="O46" s="11">
        <v>435499.2</v>
      </c>
    </row>
    <row r="47" spans="1:15" x14ac:dyDescent="0.25">
      <c r="A47" s="6" t="s">
        <v>28</v>
      </c>
      <c r="B47" s="6" t="s">
        <v>77</v>
      </c>
      <c r="C47" s="6" t="s">
        <v>21</v>
      </c>
      <c r="D47" s="6" t="s">
        <v>17</v>
      </c>
      <c r="E47" s="6" t="s">
        <v>18</v>
      </c>
      <c r="F47" s="7">
        <v>42458</v>
      </c>
      <c r="G47" s="8">
        <f t="shared" si="0"/>
        <v>2016</v>
      </c>
      <c r="H47" s="9">
        <v>902102267</v>
      </c>
      <c r="I47" s="7">
        <v>42489</v>
      </c>
      <c r="J47" s="10">
        <v>962</v>
      </c>
      <c r="K47" s="9">
        <v>205.7</v>
      </c>
      <c r="L47" s="9">
        <v>117.11</v>
      </c>
      <c r="M47" s="11">
        <v>197883.4</v>
      </c>
      <c r="N47" s="11">
        <v>112659.82</v>
      </c>
      <c r="O47" s="11">
        <v>85223.58</v>
      </c>
    </row>
    <row r="48" spans="1:15" x14ac:dyDescent="0.25">
      <c r="A48" s="6" t="s">
        <v>24</v>
      </c>
      <c r="B48" s="6" t="s">
        <v>78</v>
      </c>
      <c r="C48" s="6" t="s">
        <v>50</v>
      </c>
      <c r="D48" s="6" t="s">
        <v>22</v>
      </c>
      <c r="E48" s="6" t="s">
        <v>23</v>
      </c>
      <c r="F48" s="7">
        <v>42735</v>
      </c>
      <c r="G48" s="8">
        <f t="shared" si="0"/>
        <v>2016</v>
      </c>
      <c r="H48" s="9">
        <v>331438481</v>
      </c>
      <c r="I48" s="7">
        <v>42735</v>
      </c>
      <c r="J48" s="10">
        <v>8867</v>
      </c>
      <c r="K48" s="9">
        <v>437.2</v>
      </c>
      <c r="L48" s="9">
        <v>263.33</v>
      </c>
      <c r="M48" s="11">
        <v>3876652.4</v>
      </c>
      <c r="N48" s="11">
        <v>2334947.11</v>
      </c>
      <c r="O48" s="11">
        <v>1541705.29</v>
      </c>
    </row>
    <row r="49" spans="1:15" x14ac:dyDescent="0.25">
      <c r="A49" s="6" t="s">
        <v>24</v>
      </c>
      <c r="B49" s="6" t="s">
        <v>65</v>
      </c>
      <c r="C49" s="6" t="s">
        <v>39</v>
      </c>
      <c r="D49" s="6" t="s">
        <v>22</v>
      </c>
      <c r="E49" s="6" t="s">
        <v>35</v>
      </c>
      <c r="F49" s="7">
        <v>40535</v>
      </c>
      <c r="G49" s="8">
        <f t="shared" si="0"/>
        <v>2010</v>
      </c>
      <c r="H49" s="9">
        <v>617667090</v>
      </c>
      <c r="I49" s="7">
        <v>40574</v>
      </c>
      <c r="J49" s="10">
        <v>273</v>
      </c>
      <c r="K49" s="9">
        <v>81.73</v>
      </c>
      <c r="L49" s="9">
        <v>56.67</v>
      </c>
      <c r="M49" s="11">
        <v>22312.29</v>
      </c>
      <c r="N49" s="11">
        <v>15470.91</v>
      </c>
      <c r="O49" s="11">
        <v>6841.38</v>
      </c>
    </row>
    <row r="50" spans="1:15" x14ac:dyDescent="0.25">
      <c r="A50" s="6" t="s">
        <v>24</v>
      </c>
      <c r="B50" s="6" t="s">
        <v>79</v>
      </c>
      <c r="C50" s="6" t="s">
        <v>44</v>
      </c>
      <c r="D50" s="6" t="s">
        <v>17</v>
      </c>
      <c r="E50" s="6" t="s">
        <v>23</v>
      </c>
      <c r="F50" s="7">
        <v>41926</v>
      </c>
      <c r="G50" s="8">
        <f t="shared" si="0"/>
        <v>2014</v>
      </c>
      <c r="H50" s="9">
        <v>787399423</v>
      </c>
      <c r="I50" s="7">
        <v>41957</v>
      </c>
      <c r="J50" s="10">
        <v>7842</v>
      </c>
      <c r="K50" s="9">
        <v>109.28</v>
      </c>
      <c r="L50" s="9">
        <v>35.840000000000003</v>
      </c>
      <c r="M50" s="11">
        <v>856973.76</v>
      </c>
      <c r="N50" s="11">
        <v>281057.28000000003</v>
      </c>
      <c r="O50" s="11">
        <v>575916.48</v>
      </c>
    </row>
    <row r="51" spans="1:15" x14ac:dyDescent="0.25">
      <c r="A51" s="6" t="s">
        <v>28</v>
      </c>
      <c r="B51" s="6" t="s">
        <v>80</v>
      </c>
      <c r="C51" s="6" t="s">
        <v>26</v>
      </c>
      <c r="D51" s="6" t="s">
        <v>17</v>
      </c>
      <c r="E51" s="6" t="s">
        <v>23</v>
      </c>
      <c r="F51" s="7">
        <v>40919</v>
      </c>
      <c r="G51" s="8">
        <f t="shared" si="0"/>
        <v>2012</v>
      </c>
      <c r="H51" s="9">
        <v>837559306</v>
      </c>
      <c r="I51" s="7">
        <v>40921</v>
      </c>
      <c r="J51" s="10">
        <v>1266</v>
      </c>
      <c r="K51" s="9">
        <v>651.21</v>
      </c>
      <c r="L51" s="9">
        <v>524.96</v>
      </c>
      <c r="M51" s="11">
        <v>824431.86</v>
      </c>
      <c r="N51" s="11">
        <v>664599.36</v>
      </c>
      <c r="O51" s="11">
        <v>159832.5</v>
      </c>
    </row>
    <row r="52" spans="1:15" x14ac:dyDescent="0.25">
      <c r="A52" s="6" t="s">
        <v>24</v>
      </c>
      <c r="B52" s="6" t="s">
        <v>81</v>
      </c>
      <c r="C52" s="6" t="s">
        <v>44</v>
      </c>
      <c r="D52" s="6" t="s">
        <v>22</v>
      </c>
      <c r="E52" s="6" t="s">
        <v>23</v>
      </c>
      <c r="F52" s="7">
        <v>40211</v>
      </c>
      <c r="G52" s="8">
        <f t="shared" si="0"/>
        <v>2010</v>
      </c>
      <c r="H52" s="9">
        <v>385383069</v>
      </c>
      <c r="I52" s="7">
        <v>40255</v>
      </c>
      <c r="J52" s="10">
        <v>2269</v>
      </c>
      <c r="K52" s="9">
        <v>109.28</v>
      </c>
      <c r="L52" s="9">
        <v>35.840000000000003</v>
      </c>
      <c r="M52" s="11">
        <v>247956.32</v>
      </c>
      <c r="N52" s="11">
        <v>81320.960000000006</v>
      </c>
      <c r="O52" s="11">
        <v>166635.35999999999</v>
      </c>
    </row>
    <row r="53" spans="1:15" x14ac:dyDescent="0.25">
      <c r="A53" s="6" t="s">
        <v>28</v>
      </c>
      <c r="B53" s="6" t="s">
        <v>82</v>
      </c>
      <c r="C53" s="6" t="s">
        <v>30</v>
      </c>
      <c r="D53" s="6" t="s">
        <v>22</v>
      </c>
      <c r="E53" s="6" t="s">
        <v>27</v>
      </c>
      <c r="F53" s="7">
        <v>41504</v>
      </c>
      <c r="G53" s="8">
        <f t="shared" si="0"/>
        <v>2013</v>
      </c>
      <c r="H53" s="9">
        <v>918419539</v>
      </c>
      <c r="I53" s="7">
        <v>41535</v>
      </c>
      <c r="J53" s="10">
        <v>9606</v>
      </c>
      <c r="K53" s="9">
        <v>9.33</v>
      </c>
      <c r="L53" s="9">
        <v>6.92</v>
      </c>
      <c r="M53" s="11">
        <v>89623.98</v>
      </c>
      <c r="N53" s="11">
        <v>66473.52</v>
      </c>
      <c r="O53" s="11">
        <v>23150.46</v>
      </c>
    </row>
    <row r="54" spans="1:15" x14ac:dyDescent="0.25">
      <c r="A54" s="6" t="s">
        <v>71</v>
      </c>
      <c r="B54" s="6" t="s">
        <v>83</v>
      </c>
      <c r="C54" s="6" t="s">
        <v>21</v>
      </c>
      <c r="D54" s="6" t="s">
        <v>22</v>
      </c>
      <c r="E54" s="6" t="s">
        <v>35</v>
      </c>
      <c r="F54" s="7">
        <v>41358</v>
      </c>
      <c r="G54" s="8">
        <f t="shared" si="0"/>
        <v>2013</v>
      </c>
      <c r="H54" s="9">
        <v>844530045</v>
      </c>
      <c r="I54" s="7">
        <v>41361</v>
      </c>
      <c r="J54" s="10">
        <v>4063</v>
      </c>
      <c r="K54" s="9">
        <v>205.7</v>
      </c>
      <c r="L54" s="9">
        <v>117.11</v>
      </c>
      <c r="M54" s="11">
        <v>835759.1</v>
      </c>
      <c r="N54" s="11">
        <v>475817.93</v>
      </c>
      <c r="O54" s="11">
        <v>359941.17</v>
      </c>
    </row>
    <row r="55" spans="1:15" x14ac:dyDescent="0.25">
      <c r="A55" s="6" t="s">
        <v>28</v>
      </c>
      <c r="B55" s="6" t="s">
        <v>84</v>
      </c>
      <c r="C55" s="6" t="s">
        <v>26</v>
      </c>
      <c r="D55" s="6" t="s">
        <v>17</v>
      </c>
      <c r="E55" s="6" t="s">
        <v>35</v>
      </c>
      <c r="F55" s="7">
        <v>40873</v>
      </c>
      <c r="G55" s="8">
        <f t="shared" si="0"/>
        <v>2011</v>
      </c>
      <c r="H55" s="9">
        <v>441888415</v>
      </c>
      <c r="I55" s="7">
        <v>40915</v>
      </c>
      <c r="J55" s="10">
        <v>3457</v>
      </c>
      <c r="K55" s="9">
        <v>651.21</v>
      </c>
      <c r="L55" s="9">
        <v>524.96</v>
      </c>
      <c r="M55" s="11">
        <v>2251232.9700000002</v>
      </c>
      <c r="N55" s="11">
        <v>1814786.72</v>
      </c>
      <c r="O55" s="11">
        <v>436446.25</v>
      </c>
    </row>
    <row r="56" spans="1:15" x14ac:dyDescent="0.25">
      <c r="A56" s="6" t="s">
        <v>28</v>
      </c>
      <c r="B56" s="6" t="s">
        <v>29</v>
      </c>
      <c r="C56" s="6" t="s">
        <v>30</v>
      </c>
      <c r="D56" s="6" t="s">
        <v>17</v>
      </c>
      <c r="E56" s="6" t="s">
        <v>18</v>
      </c>
      <c r="F56" s="7">
        <v>41534</v>
      </c>
      <c r="G56" s="8">
        <f t="shared" si="0"/>
        <v>2013</v>
      </c>
      <c r="H56" s="9">
        <v>508980977</v>
      </c>
      <c r="I56" s="7">
        <v>41571</v>
      </c>
      <c r="J56" s="10">
        <v>7637</v>
      </c>
      <c r="K56" s="9">
        <v>9.33</v>
      </c>
      <c r="L56" s="9">
        <v>6.92</v>
      </c>
      <c r="M56" s="11">
        <v>71253.210000000006</v>
      </c>
      <c r="N56" s="11">
        <v>52848.04</v>
      </c>
      <c r="O56" s="11">
        <v>18405.169999999998</v>
      </c>
    </row>
    <row r="57" spans="1:15" x14ac:dyDescent="0.25">
      <c r="A57" s="6" t="s">
        <v>28</v>
      </c>
      <c r="B57" s="6" t="s">
        <v>85</v>
      </c>
      <c r="C57" s="6" t="s">
        <v>44</v>
      </c>
      <c r="D57" s="6" t="s">
        <v>22</v>
      </c>
      <c r="E57" s="6" t="s">
        <v>23</v>
      </c>
      <c r="F57" s="7">
        <v>41068</v>
      </c>
      <c r="G57" s="8">
        <f t="shared" si="0"/>
        <v>2012</v>
      </c>
      <c r="H57" s="9">
        <v>114606559</v>
      </c>
      <c r="I57" s="7">
        <v>41087</v>
      </c>
      <c r="J57" s="10">
        <v>3482</v>
      </c>
      <c r="K57" s="9">
        <v>109.28</v>
      </c>
      <c r="L57" s="9">
        <v>35.840000000000003</v>
      </c>
      <c r="M57" s="11">
        <v>380512.96</v>
      </c>
      <c r="N57" s="11">
        <v>124794.88</v>
      </c>
      <c r="O57" s="11">
        <v>255718.08</v>
      </c>
    </row>
    <row r="58" spans="1:15" x14ac:dyDescent="0.25">
      <c r="A58" s="6" t="s">
        <v>14</v>
      </c>
      <c r="B58" s="6" t="s">
        <v>86</v>
      </c>
      <c r="C58" s="6" t="s">
        <v>44</v>
      </c>
      <c r="D58" s="6" t="s">
        <v>17</v>
      </c>
      <c r="E58" s="6" t="s">
        <v>23</v>
      </c>
      <c r="F58" s="7">
        <v>40359</v>
      </c>
      <c r="G58" s="8">
        <f t="shared" si="0"/>
        <v>2010</v>
      </c>
      <c r="H58" s="9">
        <v>647876489</v>
      </c>
      <c r="I58" s="7">
        <v>40391</v>
      </c>
      <c r="J58" s="10">
        <v>9905</v>
      </c>
      <c r="K58" s="9">
        <v>109.28</v>
      </c>
      <c r="L58" s="9">
        <v>35.840000000000003</v>
      </c>
      <c r="M58" s="11">
        <v>1082418.3999999999</v>
      </c>
      <c r="N58" s="11">
        <v>354995.20000000001</v>
      </c>
      <c r="O58" s="11">
        <v>727423.2</v>
      </c>
    </row>
    <row r="59" spans="1:15" x14ac:dyDescent="0.25">
      <c r="A59" s="6" t="s">
        <v>24</v>
      </c>
      <c r="B59" s="6" t="s">
        <v>87</v>
      </c>
      <c r="C59" s="6" t="s">
        <v>50</v>
      </c>
      <c r="D59" s="6" t="s">
        <v>17</v>
      </c>
      <c r="E59" s="6" t="s">
        <v>18</v>
      </c>
      <c r="F59" s="7">
        <v>42058</v>
      </c>
      <c r="G59" s="8">
        <f t="shared" si="0"/>
        <v>2015</v>
      </c>
      <c r="H59" s="9">
        <v>868214595</v>
      </c>
      <c r="I59" s="7">
        <v>42065</v>
      </c>
      <c r="J59" s="10">
        <v>2847</v>
      </c>
      <c r="K59" s="9">
        <v>437.2</v>
      </c>
      <c r="L59" s="9">
        <v>263.33</v>
      </c>
      <c r="M59" s="11">
        <v>1244708.3999999999</v>
      </c>
      <c r="N59" s="11">
        <v>749700.51</v>
      </c>
      <c r="O59" s="11">
        <v>495007.89</v>
      </c>
    </row>
    <row r="60" spans="1:15" x14ac:dyDescent="0.25">
      <c r="A60" s="6" t="s">
        <v>24</v>
      </c>
      <c r="B60" s="6" t="s">
        <v>88</v>
      </c>
      <c r="C60" s="6" t="s">
        <v>34</v>
      </c>
      <c r="D60" s="6" t="s">
        <v>22</v>
      </c>
      <c r="E60" s="6" t="s">
        <v>27</v>
      </c>
      <c r="F60" s="7">
        <v>40913</v>
      </c>
      <c r="G60" s="8">
        <f t="shared" si="0"/>
        <v>2012</v>
      </c>
      <c r="H60" s="9">
        <v>955357205</v>
      </c>
      <c r="I60" s="7">
        <v>40953</v>
      </c>
      <c r="J60" s="10">
        <v>282</v>
      </c>
      <c r="K60" s="9">
        <v>668.27</v>
      </c>
      <c r="L60" s="9">
        <v>502.54</v>
      </c>
      <c r="M60" s="11">
        <v>188452.14</v>
      </c>
      <c r="N60" s="11">
        <v>141716.28</v>
      </c>
      <c r="O60" s="11">
        <v>46735.86</v>
      </c>
    </row>
    <row r="61" spans="1:15" x14ac:dyDescent="0.25">
      <c r="A61" s="6" t="s">
        <v>28</v>
      </c>
      <c r="B61" s="6" t="s">
        <v>69</v>
      </c>
      <c r="C61" s="6" t="s">
        <v>50</v>
      </c>
      <c r="D61" s="6" t="s">
        <v>17</v>
      </c>
      <c r="E61" s="6" t="s">
        <v>18</v>
      </c>
      <c r="F61" s="7">
        <v>41736</v>
      </c>
      <c r="G61" s="8">
        <f t="shared" si="0"/>
        <v>2014</v>
      </c>
      <c r="H61" s="9">
        <v>259353148</v>
      </c>
      <c r="I61" s="7">
        <v>41748</v>
      </c>
      <c r="J61" s="10">
        <v>7215</v>
      </c>
      <c r="K61" s="9">
        <v>437.2</v>
      </c>
      <c r="L61" s="9">
        <v>263.33</v>
      </c>
      <c r="M61" s="11">
        <v>3154398</v>
      </c>
      <c r="N61" s="11">
        <v>1899925.95</v>
      </c>
      <c r="O61" s="11">
        <v>1254472.05</v>
      </c>
    </row>
    <row r="62" spans="1:15" x14ac:dyDescent="0.25">
      <c r="A62" s="6" t="s">
        <v>14</v>
      </c>
      <c r="B62" s="6" t="s">
        <v>67</v>
      </c>
      <c r="C62" s="6" t="s">
        <v>21</v>
      </c>
      <c r="D62" s="6" t="s">
        <v>17</v>
      </c>
      <c r="E62" s="6" t="s">
        <v>18</v>
      </c>
      <c r="F62" s="7">
        <v>41434</v>
      </c>
      <c r="G62" s="8">
        <f t="shared" si="0"/>
        <v>2013</v>
      </c>
      <c r="H62" s="9">
        <v>450563752</v>
      </c>
      <c r="I62" s="7">
        <v>41457</v>
      </c>
      <c r="J62" s="10">
        <v>682</v>
      </c>
      <c r="K62" s="9">
        <v>205.7</v>
      </c>
      <c r="L62" s="9">
        <v>117.11</v>
      </c>
      <c r="M62" s="11">
        <v>140287.4</v>
      </c>
      <c r="N62" s="11">
        <v>79869.02</v>
      </c>
      <c r="O62" s="11">
        <v>60418.38</v>
      </c>
    </row>
    <row r="63" spans="1:15" x14ac:dyDescent="0.25">
      <c r="A63" s="6" t="s">
        <v>24</v>
      </c>
      <c r="B63" s="6" t="s">
        <v>89</v>
      </c>
      <c r="C63" s="6" t="s">
        <v>16</v>
      </c>
      <c r="D63" s="6" t="s">
        <v>22</v>
      </c>
      <c r="E63" s="6" t="s">
        <v>27</v>
      </c>
      <c r="F63" s="7">
        <v>41451</v>
      </c>
      <c r="G63" s="8">
        <f t="shared" si="0"/>
        <v>2013</v>
      </c>
      <c r="H63" s="9">
        <v>569662845</v>
      </c>
      <c r="I63" s="7">
        <v>41456</v>
      </c>
      <c r="J63" s="10">
        <v>4750</v>
      </c>
      <c r="K63" s="9">
        <v>255.28</v>
      </c>
      <c r="L63" s="9">
        <v>159.41999999999999</v>
      </c>
      <c r="M63" s="11">
        <v>1212580</v>
      </c>
      <c r="N63" s="11">
        <v>757245</v>
      </c>
      <c r="O63" s="11">
        <v>455335</v>
      </c>
    </row>
    <row r="64" spans="1:15" x14ac:dyDescent="0.25">
      <c r="A64" s="6" t="s">
        <v>28</v>
      </c>
      <c r="B64" s="6" t="s">
        <v>51</v>
      </c>
      <c r="C64" s="6" t="s">
        <v>26</v>
      </c>
      <c r="D64" s="6" t="s">
        <v>22</v>
      </c>
      <c r="E64" s="6" t="s">
        <v>35</v>
      </c>
      <c r="F64" s="7">
        <v>40854</v>
      </c>
      <c r="G64" s="8">
        <f t="shared" si="0"/>
        <v>2011</v>
      </c>
      <c r="H64" s="9">
        <v>177636754</v>
      </c>
      <c r="I64" s="7">
        <v>40862</v>
      </c>
      <c r="J64" s="10">
        <v>5518</v>
      </c>
      <c r="K64" s="9">
        <v>651.21</v>
      </c>
      <c r="L64" s="9">
        <v>524.96</v>
      </c>
      <c r="M64" s="11">
        <v>3593376.78</v>
      </c>
      <c r="N64" s="11">
        <v>2896729.28</v>
      </c>
      <c r="O64" s="11">
        <v>696647.5</v>
      </c>
    </row>
    <row r="65" spans="1:15" x14ac:dyDescent="0.25">
      <c r="A65" s="6" t="s">
        <v>71</v>
      </c>
      <c r="B65" s="6" t="s">
        <v>90</v>
      </c>
      <c r="C65" s="6" t="s">
        <v>44</v>
      </c>
      <c r="D65" s="6" t="s">
        <v>17</v>
      </c>
      <c r="E65" s="6" t="s">
        <v>18</v>
      </c>
      <c r="F65" s="7">
        <v>40481</v>
      </c>
      <c r="G65" s="8">
        <f t="shared" si="0"/>
        <v>2010</v>
      </c>
      <c r="H65" s="9">
        <v>705784308</v>
      </c>
      <c r="I65" s="7">
        <v>40499</v>
      </c>
      <c r="J65" s="10">
        <v>6116</v>
      </c>
      <c r="K65" s="9">
        <v>109.28</v>
      </c>
      <c r="L65" s="9">
        <v>35.840000000000003</v>
      </c>
      <c r="M65" s="11">
        <v>668356.48</v>
      </c>
      <c r="N65" s="11">
        <v>219197.44</v>
      </c>
      <c r="O65" s="11">
        <v>449159.04</v>
      </c>
    </row>
    <row r="66" spans="1:15" x14ac:dyDescent="0.25">
      <c r="A66" s="6" t="s">
        <v>19</v>
      </c>
      <c r="B66" s="6" t="s">
        <v>91</v>
      </c>
      <c r="C66" s="6" t="s">
        <v>50</v>
      </c>
      <c r="D66" s="6" t="s">
        <v>17</v>
      </c>
      <c r="E66" s="6" t="s">
        <v>18</v>
      </c>
      <c r="F66" s="7">
        <v>41560</v>
      </c>
      <c r="G66" s="8">
        <f t="shared" si="0"/>
        <v>2013</v>
      </c>
      <c r="H66" s="9">
        <v>505716836</v>
      </c>
      <c r="I66" s="7">
        <v>41594</v>
      </c>
      <c r="J66" s="10">
        <v>1705</v>
      </c>
      <c r="K66" s="9">
        <v>437.2</v>
      </c>
      <c r="L66" s="9">
        <v>263.33</v>
      </c>
      <c r="M66" s="11">
        <v>745426</v>
      </c>
      <c r="N66" s="11">
        <v>448977.65</v>
      </c>
      <c r="O66" s="11">
        <v>296448.34999999998</v>
      </c>
    </row>
    <row r="67" spans="1:15" x14ac:dyDescent="0.25">
      <c r="A67" s="6" t="s">
        <v>28</v>
      </c>
      <c r="B67" s="6" t="s">
        <v>31</v>
      </c>
      <c r="C67" s="6" t="s">
        <v>50</v>
      </c>
      <c r="D67" s="6" t="s">
        <v>17</v>
      </c>
      <c r="E67" s="6" t="s">
        <v>18</v>
      </c>
      <c r="F67" s="7">
        <v>41558</v>
      </c>
      <c r="G67" s="8">
        <f t="shared" si="0"/>
        <v>2013</v>
      </c>
      <c r="H67" s="9">
        <v>699358165</v>
      </c>
      <c r="I67" s="7">
        <v>41603</v>
      </c>
      <c r="J67" s="10">
        <v>4477</v>
      </c>
      <c r="K67" s="9">
        <v>437.2</v>
      </c>
      <c r="L67" s="9">
        <v>263.33</v>
      </c>
      <c r="M67" s="11">
        <v>1957344.4</v>
      </c>
      <c r="N67" s="11">
        <v>1178928.4099999999</v>
      </c>
      <c r="O67" s="11">
        <v>778415.99</v>
      </c>
    </row>
    <row r="68" spans="1:15" x14ac:dyDescent="0.25">
      <c r="A68" s="6" t="s">
        <v>28</v>
      </c>
      <c r="B68" s="6" t="s">
        <v>92</v>
      </c>
      <c r="C68" s="6" t="s">
        <v>39</v>
      </c>
      <c r="D68" s="6" t="s">
        <v>17</v>
      </c>
      <c r="E68" s="6" t="s">
        <v>27</v>
      </c>
      <c r="F68" s="7">
        <v>41098</v>
      </c>
      <c r="G68" s="8">
        <f t="shared" si="0"/>
        <v>2012</v>
      </c>
      <c r="H68" s="9">
        <v>228944623</v>
      </c>
      <c r="I68" s="7">
        <v>41099</v>
      </c>
      <c r="J68" s="10">
        <v>8656</v>
      </c>
      <c r="K68" s="9">
        <v>81.73</v>
      </c>
      <c r="L68" s="9">
        <v>56.67</v>
      </c>
      <c r="M68" s="11">
        <v>707454.88</v>
      </c>
      <c r="N68" s="11">
        <v>490535.52</v>
      </c>
      <c r="O68" s="11">
        <v>216919.36</v>
      </c>
    </row>
    <row r="69" spans="1:15" x14ac:dyDescent="0.25">
      <c r="A69" s="6" t="s">
        <v>19</v>
      </c>
      <c r="B69" s="6" t="s">
        <v>93</v>
      </c>
      <c r="C69" s="6" t="s">
        <v>44</v>
      </c>
      <c r="D69" s="6" t="s">
        <v>17</v>
      </c>
      <c r="E69" s="6" t="s">
        <v>35</v>
      </c>
      <c r="F69" s="7">
        <v>42576</v>
      </c>
      <c r="G69" s="8">
        <f t="shared" ref="G69:G101" si="1">YEAR(F69)</f>
        <v>2016</v>
      </c>
      <c r="H69" s="9">
        <v>807025039</v>
      </c>
      <c r="I69" s="7">
        <v>42620</v>
      </c>
      <c r="J69" s="10">
        <v>5498</v>
      </c>
      <c r="K69" s="9">
        <v>109.28</v>
      </c>
      <c r="L69" s="9">
        <v>35.840000000000003</v>
      </c>
      <c r="M69" s="11">
        <v>600821.43999999994</v>
      </c>
      <c r="N69" s="11">
        <v>197048.32000000001</v>
      </c>
      <c r="O69" s="11">
        <v>403773.12</v>
      </c>
    </row>
    <row r="70" spans="1:15" x14ac:dyDescent="0.25">
      <c r="A70" s="6" t="s">
        <v>24</v>
      </c>
      <c r="B70" s="6" t="s">
        <v>94</v>
      </c>
      <c r="C70" s="6" t="s">
        <v>26</v>
      </c>
      <c r="D70" s="6" t="s">
        <v>17</v>
      </c>
      <c r="E70" s="6" t="s">
        <v>18</v>
      </c>
      <c r="F70" s="7">
        <v>40475</v>
      </c>
      <c r="G70" s="8">
        <f t="shared" si="1"/>
        <v>2010</v>
      </c>
      <c r="H70" s="9">
        <v>166460740</v>
      </c>
      <c r="I70" s="7">
        <v>40499</v>
      </c>
      <c r="J70" s="10">
        <v>8287</v>
      </c>
      <c r="K70" s="9">
        <v>651.21</v>
      </c>
      <c r="L70" s="9">
        <v>524.96</v>
      </c>
      <c r="M70" s="11">
        <v>5396577.2699999996</v>
      </c>
      <c r="N70" s="11">
        <v>4350343.5199999996</v>
      </c>
      <c r="O70" s="11">
        <v>1046233.75</v>
      </c>
    </row>
    <row r="71" spans="1:15" x14ac:dyDescent="0.25">
      <c r="A71" s="6" t="s">
        <v>28</v>
      </c>
      <c r="B71" s="6" t="s">
        <v>95</v>
      </c>
      <c r="C71" s="6" t="s">
        <v>44</v>
      </c>
      <c r="D71" s="6" t="s">
        <v>17</v>
      </c>
      <c r="E71" s="6" t="s">
        <v>27</v>
      </c>
      <c r="F71" s="7">
        <v>42119</v>
      </c>
      <c r="G71" s="8">
        <f t="shared" si="1"/>
        <v>2015</v>
      </c>
      <c r="H71" s="9">
        <v>610425555</v>
      </c>
      <c r="I71" s="7">
        <v>42152</v>
      </c>
      <c r="J71" s="10">
        <v>7342</v>
      </c>
      <c r="K71" s="9">
        <v>109.28</v>
      </c>
      <c r="L71" s="9">
        <v>35.840000000000003</v>
      </c>
      <c r="M71" s="11">
        <v>802333.76</v>
      </c>
      <c r="N71" s="11">
        <v>263137.28000000003</v>
      </c>
      <c r="O71" s="11">
        <v>539196.48</v>
      </c>
    </row>
    <row r="72" spans="1:15" x14ac:dyDescent="0.25">
      <c r="A72" s="6" t="s">
        <v>41</v>
      </c>
      <c r="B72" s="6" t="s">
        <v>53</v>
      </c>
      <c r="C72" s="6" t="s">
        <v>26</v>
      </c>
      <c r="D72" s="6" t="s">
        <v>22</v>
      </c>
      <c r="E72" s="6" t="s">
        <v>35</v>
      </c>
      <c r="F72" s="7">
        <v>41387</v>
      </c>
      <c r="G72" s="8">
        <f t="shared" si="1"/>
        <v>2013</v>
      </c>
      <c r="H72" s="9">
        <v>462405812</v>
      </c>
      <c r="I72" s="7">
        <v>41414</v>
      </c>
      <c r="J72" s="10">
        <v>5010</v>
      </c>
      <c r="K72" s="9">
        <v>651.21</v>
      </c>
      <c r="L72" s="9">
        <v>524.96</v>
      </c>
      <c r="M72" s="11">
        <v>3262562.1</v>
      </c>
      <c r="N72" s="11">
        <v>2630049.6</v>
      </c>
      <c r="O72" s="11">
        <v>632512.5</v>
      </c>
    </row>
    <row r="73" spans="1:15" x14ac:dyDescent="0.25">
      <c r="A73" s="6" t="s">
        <v>71</v>
      </c>
      <c r="B73" s="6" t="s">
        <v>90</v>
      </c>
      <c r="C73" s="6" t="s">
        <v>30</v>
      </c>
      <c r="D73" s="6" t="s">
        <v>22</v>
      </c>
      <c r="E73" s="6" t="s">
        <v>27</v>
      </c>
      <c r="F73" s="7">
        <v>42230</v>
      </c>
      <c r="G73" s="8">
        <f t="shared" si="1"/>
        <v>2015</v>
      </c>
      <c r="H73" s="9">
        <v>816200339</v>
      </c>
      <c r="I73" s="7">
        <v>42277</v>
      </c>
      <c r="J73" s="10">
        <v>673</v>
      </c>
      <c r="K73" s="9">
        <v>9.33</v>
      </c>
      <c r="L73" s="9">
        <v>6.92</v>
      </c>
      <c r="M73" s="11">
        <v>6279.09</v>
      </c>
      <c r="N73" s="11">
        <v>4657.16</v>
      </c>
      <c r="O73" s="11">
        <v>1621.93</v>
      </c>
    </row>
    <row r="74" spans="1:15" x14ac:dyDescent="0.25">
      <c r="A74" s="6" t="s">
        <v>28</v>
      </c>
      <c r="B74" s="6" t="s">
        <v>96</v>
      </c>
      <c r="C74" s="6" t="s">
        <v>52</v>
      </c>
      <c r="D74" s="6" t="s">
        <v>22</v>
      </c>
      <c r="E74" s="6" t="s">
        <v>23</v>
      </c>
      <c r="F74" s="7">
        <v>40689</v>
      </c>
      <c r="G74" s="8">
        <f t="shared" si="1"/>
        <v>2011</v>
      </c>
      <c r="H74" s="9">
        <v>585920464</v>
      </c>
      <c r="I74" s="7">
        <v>40739</v>
      </c>
      <c r="J74" s="10">
        <v>5741</v>
      </c>
      <c r="K74" s="9">
        <v>47.45</v>
      </c>
      <c r="L74" s="9">
        <v>31.79</v>
      </c>
      <c r="M74" s="11">
        <v>272410.45</v>
      </c>
      <c r="N74" s="11">
        <v>182506.39</v>
      </c>
      <c r="O74" s="11">
        <v>89904.06</v>
      </c>
    </row>
    <row r="75" spans="1:15" x14ac:dyDescent="0.25">
      <c r="A75" s="6" t="s">
        <v>28</v>
      </c>
      <c r="B75" s="6" t="s">
        <v>69</v>
      </c>
      <c r="C75" s="6" t="s">
        <v>21</v>
      </c>
      <c r="D75" s="6" t="s">
        <v>22</v>
      </c>
      <c r="E75" s="6" t="s">
        <v>18</v>
      </c>
      <c r="F75" s="7">
        <v>42875</v>
      </c>
      <c r="G75" s="8">
        <f t="shared" si="1"/>
        <v>2017</v>
      </c>
      <c r="H75" s="9">
        <v>555990016</v>
      </c>
      <c r="I75" s="7">
        <v>42903</v>
      </c>
      <c r="J75" s="10">
        <v>8656</v>
      </c>
      <c r="K75" s="9">
        <v>205.7</v>
      </c>
      <c r="L75" s="9">
        <v>117.11</v>
      </c>
      <c r="M75" s="11">
        <v>1780539.2</v>
      </c>
      <c r="N75" s="11">
        <v>1013704.16</v>
      </c>
      <c r="O75" s="11">
        <v>766835.04</v>
      </c>
    </row>
    <row r="76" spans="1:15" x14ac:dyDescent="0.25">
      <c r="A76" s="6" t="s">
        <v>71</v>
      </c>
      <c r="B76" s="6" t="s">
        <v>97</v>
      </c>
      <c r="C76" s="6" t="s">
        <v>50</v>
      </c>
      <c r="D76" s="6" t="s">
        <v>17</v>
      </c>
      <c r="E76" s="6" t="s">
        <v>27</v>
      </c>
      <c r="F76" s="7">
        <v>41460</v>
      </c>
      <c r="G76" s="8">
        <f t="shared" si="1"/>
        <v>2013</v>
      </c>
      <c r="H76" s="9">
        <v>231145322</v>
      </c>
      <c r="I76" s="7">
        <v>41502</v>
      </c>
      <c r="J76" s="10">
        <v>9892</v>
      </c>
      <c r="K76" s="9">
        <v>437.2</v>
      </c>
      <c r="L76" s="9">
        <v>263.33</v>
      </c>
      <c r="M76" s="11">
        <v>4324782.4000000004</v>
      </c>
      <c r="N76" s="11">
        <v>2604860.36</v>
      </c>
      <c r="O76" s="11">
        <v>1719922.04</v>
      </c>
    </row>
    <row r="77" spans="1:15" x14ac:dyDescent="0.25">
      <c r="A77" s="6" t="s">
        <v>98</v>
      </c>
      <c r="B77" s="6" t="s">
        <v>99</v>
      </c>
      <c r="C77" s="6" t="s">
        <v>34</v>
      </c>
      <c r="D77" s="6" t="s">
        <v>17</v>
      </c>
      <c r="E77" s="6" t="s">
        <v>23</v>
      </c>
      <c r="F77" s="7">
        <v>41949</v>
      </c>
      <c r="G77" s="8">
        <f t="shared" si="1"/>
        <v>2014</v>
      </c>
      <c r="H77" s="9">
        <v>986435210</v>
      </c>
      <c r="I77" s="7">
        <v>41985</v>
      </c>
      <c r="J77" s="10">
        <v>6954</v>
      </c>
      <c r="K77" s="9">
        <v>668.27</v>
      </c>
      <c r="L77" s="9">
        <v>502.54</v>
      </c>
      <c r="M77" s="11">
        <v>4647149.58</v>
      </c>
      <c r="N77" s="11">
        <v>3494663.16</v>
      </c>
      <c r="O77" s="11">
        <v>1152486.42</v>
      </c>
    </row>
    <row r="78" spans="1:15" x14ac:dyDescent="0.25">
      <c r="A78" s="6" t="s">
        <v>14</v>
      </c>
      <c r="B78" s="6" t="s">
        <v>100</v>
      </c>
      <c r="C78" s="6" t="s">
        <v>52</v>
      </c>
      <c r="D78" s="6" t="s">
        <v>22</v>
      </c>
      <c r="E78" s="6" t="s">
        <v>23</v>
      </c>
      <c r="F78" s="7">
        <v>41940</v>
      </c>
      <c r="G78" s="8">
        <f t="shared" si="1"/>
        <v>2014</v>
      </c>
      <c r="H78" s="9">
        <v>217221009</v>
      </c>
      <c r="I78" s="7">
        <v>41958</v>
      </c>
      <c r="J78" s="10">
        <v>9379</v>
      </c>
      <c r="K78" s="9">
        <v>47.45</v>
      </c>
      <c r="L78" s="9">
        <v>31.79</v>
      </c>
      <c r="M78" s="11">
        <v>445033.55</v>
      </c>
      <c r="N78" s="11">
        <v>298158.40999999997</v>
      </c>
      <c r="O78" s="11">
        <v>146875.14000000001</v>
      </c>
    </row>
    <row r="79" spans="1:15" x14ac:dyDescent="0.25">
      <c r="A79" s="6" t="s">
        <v>41</v>
      </c>
      <c r="B79" s="6" t="s">
        <v>101</v>
      </c>
      <c r="C79" s="6" t="s">
        <v>37</v>
      </c>
      <c r="D79" s="6" t="s">
        <v>17</v>
      </c>
      <c r="E79" s="6" t="s">
        <v>23</v>
      </c>
      <c r="F79" s="7">
        <v>40801</v>
      </c>
      <c r="G79" s="8">
        <f t="shared" si="1"/>
        <v>2011</v>
      </c>
      <c r="H79" s="9">
        <v>789176547</v>
      </c>
      <c r="I79" s="7">
        <v>40839</v>
      </c>
      <c r="J79" s="10">
        <v>3732</v>
      </c>
      <c r="K79" s="9">
        <v>154.06</v>
      </c>
      <c r="L79" s="9">
        <v>90.93</v>
      </c>
      <c r="M79" s="11">
        <v>574951.92000000004</v>
      </c>
      <c r="N79" s="11">
        <v>339350.76</v>
      </c>
      <c r="O79" s="11">
        <v>235601.16</v>
      </c>
    </row>
    <row r="80" spans="1:15" x14ac:dyDescent="0.25">
      <c r="A80" s="6" t="s">
        <v>24</v>
      </c>
      <c r="B80" s="6" t="s">
        <v>102</v>
      </c>
      <c r="C80" s="6" t="s">
        <v>16</v>
      </c>
      <c r="D80" s="6" t="s">
        <v>17</v>
      </c>
      <c r="E80" s="6" t="s">
        <v>18</v>
      </c>
      <c r="F80" s="7">
        <v>41058</v>
      </c>
      <c r="G80" s="8">
        <f t="shared" si="1"/>
        <v>2012</v>
      </c>
      <c r="H80" s="9">
        <v>688288152</v>
      </c>
      <c r="I80" s="7">
        <v>41062</v>
      </c>
      <c r="J80" s="10">
        <v>8614</v>
      </c>
      <c r="K80" s="9">
        <v>255.28</v>
      </c>
      <c r="L80" s="9">
        <v>159.41999999999999</v>
      </c>
      <c r="M80" s="11">
        <v>2198981.92</v>
      </c>
      <c r="N80" s="11">
        <v>1373243.88</v>
      </c>
      <c r="O80" s="11">
        <v>825738.04</v>
      </c>
    </row>
    <row r="81" spans="1:15" x14ac:dyDescent="0.25">
      <c r="A81" s="6" t="s">
        <v>14</v>
      </c>
      <c r="B81" s="6" t="s">
        <v>103</v>
      </c>
      <c r="C81" s="6" t="s">
        <v>50</v>
      </c>
      <c r="D81" s="6" t="s">
        <v>22</v>
      </c>
      <c r="E81" s="6" t="s">
        <v>18</v>
      </c>
      <c r="F81" s="7">
        <v>41475</v>
      </c>
      <c r="G81" s="8">
        <f t="shared" si="1"/>
        <v>2013</v>
      </c>
      <c r="H81" s="9">
        <v>670854651</v>
      </c>
      <c r="I81" s="7">
        <v>41493</v>
      </c>
      <c r="J81" s="10">
        <v>9654</v>
      </c>
      <c r="K81" s="9">
        <v>437.2</v>
      </c>
      <c r="L81" s="9">
        <v>263.33</v>
      </c>
      <c r="M81" s="11">
        <v>4220728.8</v>
      </c>
      <c r="N81" s="11">
        <v>2542187.8199999998</v>
      </c>
      <c r="O81" s="11">
        <v>1678540.98</v>
      </c>
    </row>
    <row r="82" spans="1:15" x14ac:dyDescent="0.25">
      <c r="A82" s="6" t="s">
        <v>24</v>
      </c>
      <c r="B82" s="6" t="s">
        <v>104</v>
      </c>
      <c r="C82" s="6" t="s">
        <v>34</v>
      </c>
      <c r="D82" s="6" t="s">
        <v>17</v>
      </c>
      <c r="E82" s="6" t="s">
        <v>27</v>
      </c>
      <c r="F82" s="7">
        <v>41203</v>
      </c>
      <c r="G82" s="8">
        <f t="shared" si="1"/>
        <v>2012</v>
      </c>
      <c r="H82" s="9">
        <v>213487374</v>
      </c>
      <c r="I82" s="7">
        <v>41243</v>
      </c>
      <c r="J82" s="10">
        <v>4513</v>
      </c>
      <c r="K82" s="9">
        <v>668.27</v>
      </c>
      <c r="L82" s="9">
        <v>502.54</v>
      </c>
      <c r="M82" s="11">
        <v>3015902.51</v>
      </c>
      <c r="N82" s="11">
        <v>2267963.02</v>
      </c>
      <c r="O82" s="11">
        <v>747939.49</v>
      </c>
    </row>
    <row r="83" spans="1:15" x14ac:dyDescent="0.25">
      <c r="A83" s="6" t="s">
        <v>71</v>
      </c>
      <c r="B83" s="6" t="s">
        <v>105</v>
      </c>
      <c r="C83" s="6" t="s">
        <v>44</v>
      </c>
      <c r="D83" s="6" t="s">
        <v>22</v>
      </c>
      <c r="E83" s="6" t="s">
        <v>27</v>
      </c>
      <c r="F83" s="7">
        <v>41170</v>
      </c>
      <c r="G83" s="8">
        <f t="shared" si="1"/>
        <v>2012</v>
      </c>
      <c r="H83" s="9">
        <v>663110148</v>
      </c>
      <c r="I83" s="7">
        <v>41190</v>
      </c>
      <c r="J83" s="10">
        <v>7884</v>
      </c>
      <c r="K83" s="9">
        <v>109.28</v>
      </c>
      <c r="L83" s="9">
        <v>35.840000000000003</v>
      </c>
      <c r="M83" s="11">
        <v>861563.52</v>
      </c>
      <c r="N83" s="11">
        <v>282562.56</v>
      </c>
      <c r="O83" s="11">
        <v>579000.96</v>
      </c>
    </row>
    <row r="84" spans="1:15" x14ac:dyDescent="0.25">
      <c r="A84" s="6" t="s">
        <v>71</v>
      </c>
      <c r="B84" s="6" t="s">
        <v>106</v>
      </c>
      <c r="C84" s="6" t="s">
        <v>50</v>
      </c>
      <c r="D84" s="6" t="s">
        <v>22</v>
      </c>
      <c r="E84" s="6" t="s">
        <v>18</v>
      </c>
      <c r="F84" s="7">
        <v>42689</v>
      </c>
      <c r="G84" s="8">
        <f t="shared" si="1"/>
        <v>2016</v>
      </c>
      <c r="H84" s="9">
        <v>286959302</v>
      </c>
      <c r="I84" s="7">
        <v>42712</v>
      </c>
      <c r="J84" s="10">
        <v>6489</v>
      </c>
      <c r="K84" s="9">
        <v>437.2</v>
      </c>
      <c r="L84" s="9">
        <v>263.33</v>
      </c>
      <c r="M84" s="11">
        <v>2836990.8</v>
      </c>
      <c r="N84" s="11">
        <v>1708748.37</v>
      </c>
      <c r="O84" s="11">
        <v>1128242.43</v>
      </c>
    </row>
    <row r="85" spans="1:15" x14ac:dyDescent="0.25">
      <c r="A85" s="6" t="s">
        <v>28</v>
      </c>
      <c r="B85" s="6" t="s">
        <v>107</v>
      </c>
      <c r="C85" s="6" t="s">
        <v>58</v>
      </c>
      <c r="D85" s="6" t="s">
        <v>22</v>
      </c>
      <c r="E85" s="6" t="s">
        <v>27</v>
      </c>
      <c r="F85" s="7">
        <v>40547</v>
      </c>
      <c r="G85" s="8">
        <f t="shared" si="1"/>
        <v>2011</v>
      </c>
      <c r="H85" s="9">
        <v>122583663</v>
      </c>
      <c r="I85" s="7">
        <v>40548</v>
      </c>
      <c r="J85" s="10">
        <v>4085</v>
      </c>
      <c r="K85" s="9">
        <v>152.58000000000001</v>
      </c>
      <c r="L85" s="9">
        <v>97.44</v>
      </c>
      <c r="M85" s="11">
        <v>623289.30000000005</v>
      </c>
      <c r="N85" s="11">
        <v>398042.4</v>
      </c>
      <c r="O85" s="11">
        <v>225246.9</v>
      </c>
    </row>
    <row r="86" spans="1:15" x14ac:dyDescent="0.25">
      <c r="A86" s="6" t="s">
        <v>28</v>
      </c>
      <c r="B86" s="6" t="s">
        <v>108</v>
      </c>
      <c r="C86" s="6" t="s">
        <v>37</v>
      </c>
      <c r="D86" s="6" t="s">
        <v>22</v>
      </c>
      <c r="E86" s="6" t="s">
        <v>27</v>
      </c>
      <c r="F86" s="7">
        <v>40986</v>
      </c>
      <c r="G86" s="8">
        <f t="shared" si="1"/>
        <v>2012</v>
      </c>
      <c r="H86" s="9">
        <v>827844560</v>
      </c>
      <c r="I86" s="7">
        <v>41006</v>
      </c>
      <c r="J86" s="10">
        <v>6457</v>
      </c>
      <c r="K86" s="9">
        <v>154.06</v>
      </c>
      <c r="L86" s="9">
        <v>90.93</v>
      </c>
      <c r="M86" s="11">
        <v>994765.42</v>
      </c>
      <c r="N86" s="11">
        <v>587135.01</v>
      </c>
      <c r="O86" s="11">
        <v>407630.41</v>
      </c>
    </row>
    <row r="87" spans="1:15" x14ac:dyDescent="0.25">
      <c r="A87" s="6" t="s">
        <v>98</v>
      </c>
      <c r="B87" s="6" t="s">
        <v>99</v>
      </c>
      <c r="C87" s="6" t="s">
        <v>39</v>
      </c>
      <c r="D87" s="6" t="s">
        <v>17</v>
      </c>
      <c r="E87" s="6" t="s">
        <v>27</v>
      </c>
      <c r="F87" s="7">
        <v>40956</v>
      </c>
      <c r="G87" s="8">
        <f t="shared" si="1"/>
        <v>2012</v>
      </c>
      <c r="H87" s="9">
        <v>430915820</v>
      </c>
      <c r="I87" s="7">
        <v>40988</v>
      </c>
      <c r="J87" s="10">
        <v>6422</v>
      </c>
      <c r="K87" s="9">
        <v>81.73</v>
      </c>
      <c r="L87" s="9">
        <v>56.67</v>
      </c>
      <c r="M87" s="11">
        <v>524870.06000000006</v>
      </c>
      <c r="N87" s="11">
        <v>363934.74</v>
      </c>
      <c r="O87" s="11">
        <v>160935.32</v>
      </c>
    </row>
    <row r="88" spans="1:15" x14ac:dyDescent="0.25">
      <c r="A88" s="6" t="s">
        <v>28</v>
      </c>
      <c r="B88" s="6" t="s">
        <v>29</v>
      </c>
      <c r="C88" s="6" t="s">
        <v>52</v>
      </c>
      <c r="D88" s="6" t="s">
        <v>17</v>
      </c>
      <c r="E88" s="6" t="s">
        <v>23</v>
      </c>
      <c r="F88" s="7">
        <v>40559</v>
      </c>
      <c r="G88" s="8">
        <f t="shared" si="1"/>
        <v>2011</v>
      </c>
      <c r="H88" s="9">
        <v>180283772</v>
      </c>
      <c r="I88" s="7">
        <v>40564</v>
      </c>
      <c r="J88" s="10">
        <v>8829</v>
      </c>
      <c r="K88" s="9">
        <v>47.45</v>
      </c>
      <c r="L88" s="9">
        <v>31.79</v>
      </c>
      <c r="M88" s="11">
        <v>418936.05</v>
      </c>
      <c r="N88" s="11">
        <v>280673.90999999997</v>
      </c>
      <c r="O88" s="11">
        <v>138262.14000000001</v>
      </c>
    </row>
    <row r="89" spans="1:15" x14ac:dyDescent="0.25">
      <c r="A89" s="6" t="s">
        <v>28</v>
      </c>
      <c r="B89" s="6" t="s">
        <v>64</v>
      </c>
      <c r="C89" s="6" t="s">
        <v>16</v>
      </c>
      <c r="D89" s="6" t="s">
        <v>17</v>
      </c>
      <c r="E89" s="6" t="s">
        <v>35</v>
      </c>
      <c r="F89" s="7">
        <v>41673</v>
      </c>
      <c r="G89" s="8">
        <f t="shared" si="1"/>
        <v>2014</v>
      </c>
      <c r="H89" s="9">
        <v>494747245</v>
      </c>
      <c r="I89" s="7">
        <v>41718</v>
      </c>
      <c r="J89" s="10">
        <v>5559</v>
      </c>
      <c r="K89" s="9">
        <v>255.28</v>
      </c>
      <c r="L89" s="9">
        <v>159.41999999999999</v>
      </c>
      <c r="M89" s="11">
        <v>1419101.52</v>
      </c>
      <c r="N89" s="11">
        <v>886215.78</v>
      </c>
      <c r="O89" s="11">
        <v>532885.74</v>
      </c>
    </row>
    <row r="90" spans="1:15" x14ac:dyDescent="0.25">
      <c r="A90" s="6" t="s">
        <v>71</v>
      </c>
      <c r="B90" s="6" t="s">
        <v>109</v>
      </c>
      <c r="C90" s="6" t="s">
        <v>30</v>
      </c>
      <c r="D90" s="6" t="s">
        <v>22</v>
      </c>
      <c r="E90" s="6" t="s">
        <v>35</v>
      </c>
      <c r="F90" s="7">
        <v>41029</v>
      </c>
      <c r="G90" s="8">
        <f t="shared" si="1"/>
        <v>2012</v>
      </c>
      <c r="H90" s="9">
        <v>513417565</v>
      </c>
      <c r="I90" s="7">
        <v>41047</v>
      </c>
      <c r="J90" s="10">
        <v>522</v>
      </c>
      <c r="K90" s="9">
        <v>9.33</v>
      </c>
      <c r="L90" s="9">
        <v>6.92</v>
      </c>
      <c r="M90" s="11">
        <v>4870.26</v>
      </c>
      <c r="N90" s="11">
        <v>3612.24</v>
      </c>
      <c r="O90" s="11">
        <v>1258.02</v>
      </c>
    </row>
    <row r="91" spans="1:15" x14ac:dyDescent="0.25">
      <c r="A91" s="6" t="s">
        <v>24</v>
      </c>
      <c r="B91" s="6" t="s">
        <v>110</v>
      </c>
      <c r="C91" s="6" t="s">
        <v>52</v>
      </c>
      <c r="D91" s="6" t="s">
        <v>17</v>
      </c>
      <c r="E91" s="6" t="s">
        <v>23</v>
      </c>
      <c r="F91" s="7">
        <v>42666</v>
      </c>
      <c r="G91" s="8">
        <f t="shared" si="1"/>
        <v>2016</v>
      </c>
      <c r="H91" s="9">
        <v>345718562</v>
      </c>
      <c r="I91" s="7">
        <v>42699</v>
      </c>
      <c r="J91" s="10">
        <v>4660</v>
      </c>
      <c r="K91" s="9">
        <v>47.45</v>
      </c>
      <c r="L91" s="9">
        <v>31.79</v>
      </c>
      <c r="M91" s="11">
        <v>221117</v>
      </c>
      <c r="N91" s="11">
        <v>148141.4</v>
      </c>
      <c r="O91" s="11">
        <v>72975.600000000006</v>
      </c>
    </row>
    <row r="92" spans="1:15" x14ac:dyDescent="0.25">
      <c r="A92" s="6" t="s">
        <v>28</v>
      </c>
      <c r="B92" s="6" t="s">
        <v>84</v>
      </c>
      <c r="C92" s="6" t="s">
        <v>26</v>
      </c>
      <c r="D92" s="6" t="s">
        <v>17</v>
      </c>
      <c r="E92" s="6" t="s">
        <v>18</v>
      </c>
      <c r="F92" s="7">
        <v>42710</v>
      </c>
      <c r="G92" s="8">
        <f t="shared" si="1"/>
        <v>2016</v>
      </c>
      <c r="H92" s="9">
        <v>621386563</v>
      </c>
      <c r="I92" s="7">
        <v>42718</v>
      </c>
      <c r="J92" s="10">
        <v>948</v>
      </c>
      <c r="K92" s="9">
        <v>651.21</v>
      </c>
      <c r="L92" s="9">
        <v>524.96</v>
      </c>
      <c r="M92" s="11">
        <v>617347.07999999996</v>
      </c>
      <c r="N92" s="11">
        <v>497662.08</v>
      </c>
      <c r="O92" s="11">
        <v>119685</v>
      </c>
    </row>
    <row r="93" spans="1:15" x14ac:dyDescent="0.25">
      <c r="A93" s="6" t="s">
        <v>14</v>
      </c>
      <c r="B93" s="6" t="s">
        <v>67</v>
      </c>
      <c r="C93" s="6" t="s">
        <v>52</v>
      </c>
      <c r="D93" s="6" t="s">
        <v>17</v>
      </c>
      <c r="E93" s="6" t="s">
        <v>18</v>
      </c>
      <c r="F93" s="7">
        <v>41827</v>
      </c>
      <c r="G93" s="8">
        <f t="shared" si="1"/>
        <v>2014</v>
      </c>
      <c r="H93" s="9">
        <v>240470397</v>
      </c>
      <c r="I93" s="7">
        <v>41831</v>
      </c>
      <c r="J93" s="10">
        <v>9389</v>
      </c>
      <c r="K93" s="9">
        <v>47.45</v>
      </c>
      <c r="L93" s="9">
        <v>31.79</v>
      </c>
      <c r="M93" s="11">
        <v>445508.05</v>
      </c>
      <c r="N93" s="11">
        <v>298476.31</v>
      </c>
      <c r="O93" s="11">
        <v>147031.74</v>
      </c>
    </row>
    <row r="94" spans="1:15" x14ac:dyDescent="0.25">
      <c r="A94" s="6" t="s">
        <v>71</v>
      </c>
      <c r="B94" s="6" t="s">
        <v>75</v>
      </c>
      <c r="C94" s="6" t="s">
        <v>26</v>
      </c>
      <c r="D94" s="6" t="s">
        <v>22</v>
      </c>
      <c r="E94" s="6" t="s">
        <v>35</v>
      </c>
      <c r="F94" s="7">
        <v>41073</v>
      </c>
      <c r="G94" s="8">
        <f t="shared" si="1"/>
        <v>2012</v>
      </c>
      <c r="H94" s="9">
        <v>423331391</v>
      </c>
      <c r="I94" s="7">
        <v>41114</v>
      </c>
      <c r="J94" s="10">
        <v>2021</v>
      </c>
      <c r="K94" s="9">
        <v>651.21</v>
      </c>
      <c r="L94" s="9">
        <v>524.96</v>
      </c>
      <c r="M94" s="11">
        <v>1316095.4099999999</v>
      </c>
      <c r="N94" s="11">
        <v>1060944.1599999999</v>
      </c>
      <c r="O94" s="11">
        <v>255151.25</v>
      </c>
    </row>
    <row r="95" spans="1:15" x14ac:dyDescent="0.25">
      <c r="A95" s="6" t="s">
        <v>24</v>
      </c>
      <c r="B95" s="6" t="s">
        <v>111</v>
      </c>
      <c r="C95" s="6" t="s">
        <v>50</v>
      </c>
      <c r="D95" s="6" t="s">
        <v>22</v>
      </c>
      <c r="E95" s="6" t="s">
        <v>18</v>
      </c>
      <c r="F95" s="7">
        <v>40508</v>
      </c>
      <c r="G95" s="8">
        <f t="shared" si="1"/>
        <v>2010</v>
      </c>
      <c r="H95" s="9">
        <v>660643374</v>
      </c>
      <c r="I95" s="7">
        <v>40537</v>
      </c>
      <c r="J95" s="10">
        <v>7910</v>
      </c>
      <c r="K95" s="9">
        <v>437.2</v>
      </c>
      <c r="L95" s="9">
        <v>263.33</v>
      </c>
      <c r="M95" s="11">
        <v>3458252</v>
      </c>
      <c r="N95" s="11">
        <v>2082940.3</v>
      </c>
      <c r="O95" s="11">
        <v>1375311.7</v>
      </c>
    </row>
    <row r="96" spans="1:15" x14ac:dyDescent="0.25">
      <c r="A96" s="6" t="s">
        <v>19</v>
      </c>
      <c r="B96" s="6" t="s">
        <v>112</v>
      </c>
      <c r="C96" s="6" t="s">
        <v>52</v>
      </c>
      <c r="D96" s="6" t="s">
        <v>17</v>
      </c>
      <c r="E96" s="6" t="s">
        <v>23</v>
      </c>
      <c r="F96" s="7">
        <v>40582</v>
      </c>
      <c r="G96" s="8">
        <f t="shared" si="1"/>
        <v>2011</v>
      </c>
      <c r="H96" s="9">
        <v>963392674</v>
      </c>
      <c r="I96" s="7">
        <v>40623</v>
      </c>
      <c r="J96" s="10">
        <v>8156</v>
      </c>
      <c r="K96" s="9">
        <v>47.45</v>
      </c>
      <c r="L96" s="9">
        <v>31.79</v>
      </c>
      <c r="M96" s="11">
        <v>387002.2</v>
      </c>
      <c r="N96" s="11">
        <v>259279.24</v>
      </c>
      <c r="O96" s="11">
        <v>127722.96</v>
      </c>
    </row>
    <row r="97" spans="1:15" x14ac:dyDescent="0.25">
      <c r="A97" s="6" t="s">
        <v>28</v>
      </c>
      <c r="B97" s="6" t="s">
        <v>63</v>
      </c>
      <c r="C97" s="6" t="s">
        <v>44</v>
      </c>
      <c r="D97" s="6" t="s">
        <v>22</v>
      </c>
      <c r="E97" s="6" t="s">
        <v>35</v>
      </c>
      <c r="F97" s="7">
        <v>40750</v>
      </c>
      <c r="G97" s="8">
        <f t="shared" si="1"/>
        <v>2011</v>
      </c>
      <c r="H97" s="9">
        <v>512878119</v>
      </c>
      <c r="I97" s="7">
        <v>40789</v>
      </c>
      <c r="J97" s="10">
        <v>888</v>
      </c>
      <c r="K97" s="9">
        <v>109.28</v>
      </c>
      <c r="L97" s="9">
        <v>35.840000000000003</v>
      </c>
      <c r="M97" s="11">
        <v>97040.639999999999</v>
      </c>
      <c r="N97" s="11">
        <v>31825.919999999998</v>
      </c>
      <c r="O97" s="11">
        <v>65214.720000000001</v>
      </c>
    </row>
    <row r="98" spans="1:15" x14ac:dyDescent="0.25">
      <c r="A98" s="6" t="s">
        <v>41</v>
      </c>
      <c r="B98" s="6" t="s">
        <v>113</v>
      </c>
      <c r="C98" s="6" t="s">
        <v>30</v>
      </c>
      <c r="D98" s="6" t="s">
        <v>17</v>
      </c>
      <c r="E98" s="6" t="s">
        <v>27</v>
      </c>
      <c r="F98" s="7">
        <v>40858</v>
      </c>
      <c r="G98" s="8">
        <f t="shared" si="1"/>
        <v>2011</v>
      </c>
      <c r="H98" s="9">
        <v>810711038</v>
      </c>
      <c r="I98" s="7">
        <v>40905</v>
      </c>
      <c r="J98" s="10">
        <v>6267</v>
      </c>
      <c r="K98" s="9">
        <v>9.33</v>
      </c>
      <c r="L98" s="9">
        <v>6.92</v>
      </c>
      <c r="M98" s="11">
        <v>58471.11</v>
      </c>
      <c r="N98" s="11">
        <v>43367.64</v>
      </c>
      <c r="O98" s="11">
        <v>15103.47</v>
      </c>
    </row>
    <row r="99" spans="1:15" x14ac:dyDescent="0.25">
      <c r="A99" s="6" t="s">
        <v>28</v>
      </c>
      <c r="B99" s="6" t="s">
        <v>84</v>
      </c>
      <c r="C99" s="6" t="s">
        <v>37</v>
      </c>
      <c r="D99" s="6" t="s">
        <v>17</v>
      </c>
      <c r="E99" s="6" t="s">
        <v>23</v>
      </c>
      <c r="F99" s="7">
        <v>42522</v>
      </c>
      <c r="G99" s="8">
        <f t="shared" si="1"/>
        <v>2016</v>
      </c>
      <c r="H99" s="9">
        <v>728815257</v>
      </c>
      <c r="I99" s="7">
        <v>42550</v>
      </c>
      <c r="J99" s="10">
        <v>1485</v>
      </c>
      <c r="K99" s="9">
        <v>154.06</v>
      </c>
      <c r="L99" s="9">
        <v>90.93</v>
      </c>
      <c r="M99" s="11">
        <v>228779.1</v>
      </c>
      <c r="N99" s="11">
        <v>135031.04999999999</v>
      </c>
      <c r="O99" s="11">
        <v>93748.05</v>
      </c>
    </row>
    <row r="100" spans="1:15" x14ac:dyDescent="0.25">
      <c r="A100" s="6" t="s">
        <v>98</v>
      </c>
      <c r="B100" s="6" t="s">
        <v>99</v>
      </c>
      <c r="C100" s="6" t="s">
        <v>39</v>
      </c>
      <c r="D100" s="6" t="s">
        <v>17</v>
      </c>
      <c r="E100" s="6" t="s">
        <v>35</v>
      </c>
      <c r="F100" s="7">
        <v>42215</v>
      </c>
      <c r="G100" s="8">
        <f t="shared" si="1"/>
        <v>2015</v>
      </c>
      <c r="H100" s="9">
        <v>559427106</v>
      </c>
      <c r="I100" s="7">
        <v>42224</v>
      </c>
      <c r="J100" s="10">
        <v>5767</v>
      </c>
      <c r="K100" s="9">
        <v>81.73</v>
      </c>
      <c r="L100" s="9">
        <v>56.67</v>
      </c>
      <c r="M100" s="11">
        <v>471336.91</v>
      </c>
      <c r="N100" s="11">
        <v>326815.89</v>
      </c>
      <c r="O100" s="11">
        <v>144521.01999999999</v>
      </c>
    </row>
    <row r="101" spans="1:15" x14ac:dyDescent="0.25">
      <c r="A101" s="6" t="s">
        <v>28</v>
      </c>
      <c r="B101" s="6" t="s">
        <v>114</v>
      </c>
      <c r="C101" s="6" t="s">
        <v>34</v>
      </c>
      <c r="D101" s="6" t="s">
        <v>17</v>
      </c>
      <c r="E101" s="6" t="s">
        <v>27</v>
      </c>
      <c r="F101" s="7">
        <v>40949</v>
      </c>
      <c r="G101" s="8">
        <f t="shared" si="1"/>
        <v>2012</v>
      </c>
      <c r="H101" s="9">
        <v>665095412</v>
      </c>
      <c r="I101" s="7">
        <v>40954</v>
      </c>
      <c r="J101" s="10">
        <v>5367</v>
      </c>
      <c r="K101" s="9">
        <v>668.27</v>
      </c>
      <c r="L101" s="9">
        <v>502.54</v>
      </c>
      <c r="M101" s="11">
        <v>3586605.09</v>
      </c>
      <c r="N101" s="11">
        <v>2697132.18</v>
      </c>
      <c r="O101" s="11">
        <v>889472.91</v>
      </c>
    </row>
    <row r="102" spans="1:15" x14ac:dyDescent="0.25">
      <c r="J102" s="16">
        <f>SUM(J2:J101)</f>
        <v>512871</v>
      </c>
      <c r="L102" s="17">
        <f>SUM(L2:L101)</f>
        <v>19104.800000000007</v>
      </c>
      <c r="M102" s="17">
        <f t="shared" ref="M102:O102" si="2">SUM(M2:M101)</f>
        <v>137348768.30999997</v>
      </c>
      <c r="N102" s="17">
        <f t="shared" si="2"/>
        <v>93180569.909999982</v>
      </c>
      <c r="O102" s="17">
        <f t="shared" si="2"/>
        <v>44168198.399999991</v>
      </c>
    </row>
  </sheetData>
  <autoFilter ref="A1:O102" xr:uid="{94D4A07C-5D79-4258-A4E1-8C7BD9F60BD2}"/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01"/>
  <sheetViews>
    <sheetView topLeftCell="A82" workbookViewId="0">
      <selection activeCell="D98" sqref="D98"/>
    </sheetView>
  </sheetViews>
  <sheetFormatPr defaultRowHeight="15" x14ac:dyDescent="0.25"/>
  <cols>
    <col min="1" max="1" width="15.140625" customWidth="1"/>
    <col min="2" max="2" width="31.5703125" bestFit="1" customWidth="1"/>
    <col min="3" max="3" width="14.5703125" customWidth="1"/>
    <col min="5" max="5" width="13.28515625" bestFit="1" customWidth="1"/>
    <col min="6" max="6" width="17.42578125" bestFit="1" customWidth="1"/>
    <col min="7" max="7" width="10" style="1" bestFit="1" customWidth="1"/>
    <col min="8" max="8" width="15" customWidth="1"/>
    <col min="9" max="9" width="15.5703125" customWidth="1"/>
    <col min="10" max="10" width="13" customWidth="1"/>
    <col min="11" max="11" width="12.85546875" customWidth="1"/>
    <col min="12" max="12" width="15.42578125" customWidth="1"/>
    <col min="13" max="13" width="10.7109375" customWidth="1"/>
    <col min="14" max="14" width="11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40326</v>
      </c>
      <c r="G2" s="1">
        <v>669165933</v>
      </c>
      <c r="H2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41143</v>
      </c>
      <c r="G3" s="1">
        <v>963881480</v>
      </c>
      <c r="H3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25">
      <c r="A4" t="s">
        <v>24</v>
      </c>
      <c r="B4" t="s">
        <v>25</v>
      </c>
      <c r="C4" t="s">
        <v>26</v>
      </c>
      <c r="D4" t="s">
        <v>17</v>
      </c>
      <c r="E4" t="s">
        <v>27</v>
      </c>
      <c r="F4">
        <v>41761</v>
      </c>
      <c r="G4" s="1">
        <v>341417157</v>
      </c>
      <c r="H4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25">
      <c r="A5" t="s">
        <v>28</v>
      </c>
      <c r="B5" t="s">
        <v>29</v>
      </c>
      <c r="C5" t="s">
        <v>30</v>
      </c>
      <c r="D5" t="s">
        <v>22</v>
      </c>
      <c r="E5" t="s">
        <v>23</v>
      </c>
      <c r="F5">
        <v>41810</v>
      </c>
      <c r="G5" s="1">
        <v>514321792</v>
      </c>
      <c r="H5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25">
      <c r="A6" t="s">
        <v>28</v>
      </c>
      <c r="B6" t="s">
        <v>31</v>
      </c>
      <c r="C6" t="s">
        <v>26</v>
      </c>
      <c r="D6" t="s">
        <v>17</v>
      </c>
      <c r="E6" t="s">
        <v>27</v>
      </c>
      <c r="F6">
        <v>41306</v>
      </c>
      <c r="G6" s="1">
        <v>115456712</v>
      </c>
      <c r="H6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25">
      <c r="A7" t="s">
        <v>14</v>
      </c>
      <c r="B7" t="s">
        <v>32</v>
      </c>
      <c r="C7" t="s">
        <v>16</v>
      </c>
      <c r="D7" t="s">
        <v>22</v>
      </c>
      <c r="E7" t="s">
        <v>23</v>
      </c>
      <c r="F7">
        <v>42039</v>
      </c>
      <c r="G7" s="1">
        <v>547995746</v>
      </c>
      <c r="H7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25">
      <c r="A8" t="s">
        <v>28</v>
      </c>
      <c r="B8" t="s">
        <v>33</v>
      </c>
      <c r="C8" t="s">
        <v>34</v>
      </c>
      <c r="D8" t="s">
        <v>17</v>
      </c>
      <c r="E8" t="s">
        <v>35</v>
      </c>
      <c r="F8">
        <v>40656</v>
      </c>
      <c r="G8" s="1">
        <v>135425221</v>
      </c>
      <c r="H8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25">
      <c r="A9" t="s">
        <v>28</v>
      </c>
      <c r="B9" t="s">
        <v>36</v>
      </c>
      <c r="C9" t="s">
        <v>37</v>
      </c>
      <c r="D9" t="s">
        <v>22</v>
      </c>
      <c r="E9" t="s">
        <v>18</v>
      </c>
      <c r="F9">
        <v>41107</v>
      </c>
      <c r="G9" s="1">
        <v>871543967</v>
      </c>
      <c r="H9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2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>
        <v>42199</v>
      </c>
      <c r="G10" s="1">
        <v>770463311</v>
      </c>
      <c r="H10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2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>
        <v>41747</v>
      </c>
      <c r="G11" s="1">
        <v>616607081</v>
      </c>
      <c r="H1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2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>
        <v>40718</v>
      </c>
      <c r="G12" s="1">
        <v>814711606</v>
      </c>
      <c r="H12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2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>
        <v>41853</v>
      </c>
      <c r="G13" s="1">
        <v>939825713</v>
      </c>
      <c r="H13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2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>
        <v>42748</v>
      </c>
      <c r="G14" s="1">
        <v>187310731</v>
      </c>
      <c r="H14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2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>
        <v>42774</v>
      </c>
      <c r="G15" s="1">
        <v>522840487</v>
      </c>
      <c r="H15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2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>
        <v>41689</v>
      </c>
      <c r="G16" s="1">
        <v>832401311</v>
      </c>
      <c r="H16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2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>
        <v>41022</v>
      </c>
      <c r="G17" s="1">
        <v>972292029</v>
      </c>
      <c r="H17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2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>
        <v>42693</v>
      </c>
      <c r="G18" s="1">
        <v>419123971</v>
      </c>
      <c r="H18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2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>
        <v>42095</v>
      </c>
      <c r="G19" s="1">
        <v>519820964</v>
      </c>
      <c r="H19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2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>
        <v>40542</v>
      </c>
      <c r="G20" s="1">
        <v>441619336</v>
      </c>
      <c r="H20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2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>
        <v>41121</v>
      </c>
      <c r="G21" s="1">
        <v>322067916</v>
      </c>
      <c r="H2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2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>
        <v>41773</v>
      </c>
      <c r="G22" s="1">
        <v>819028031</v>
      </c>
      <c r="H22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2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>
        <v>42216</v>
      </c>
      <c r="G23" s="1">
        <v>860673511</v>
      </c>
      <c r="H23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2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>
        <v>42551</v>
      </c>
      <c r="G24" s="1">
        <v>795490682</v>
      </c>
      <c r="H24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2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>
        <v>41890</v>
      </c>
      <c r="G25" s="1">
        <v>142278373</v>
      </c>
      <c r="H25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2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>
        <v>42497</v>
      </c>
      <c r="G26" s="1">
        <v>740147912</v>
      </c>
      <c r="H26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2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>
        <v>42877</v>
      </c>
      <c r="G27" s="1">
        <v>898523128</v>
      </c>
      <c r="H27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2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>
        <v>41925</v>
      </c>
      <c r="G28" s="1">
        <v>347140347</v>
      </c>
      <c r="H28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2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>
        <v>40305</v>
      </c>
      <c r="G29" s="1">
        <v>686048400</v>
      </c>
      <c r="H29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2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>
        <v>41838</v>
      </c>
      <c r="G30" s="1">
        <v>435608613</v>
      </c>
      <c r="H30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2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>
        <v>41055</v>
      </c>
      <c r="G31" s="1">
        <v>886494815</v>
      </c>
      <c r="H3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2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>
        <v>41169</v>
      </c>
      <c r="G32" s="1">
        <v>249693334</v>
      </c>
      <c r="H32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2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>
        <v>41637</v>
      </c>
      <c r="G33" s="1">
        <v>406502997</v>
      </c>
      <c r="H33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2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>
        <v>42304</v>
      </c>
      <c r="G34" s="1">
        <v>158535134</v>
      </c>
      <c r="H34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2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>
        <v>42020</v>
      </c>
      <c r="G35" s="1">
        <v>177713572</v>
      </c>
      <c r="H35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2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>
        <v>42791</v>
      </c>
      <c r="G36" s="1">
        <v>756274640</v>
      </c>
      <c r="H36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2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>
        <v>42863</v>
      </c>
      <c r="G37" s="1">
        <v>456767165</v>
      </c>
      <c r="H37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2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>
        <v>40869</v>
      </c>
      <c r="G38" s="1">
        <v>162052476</v>
      </c>
      <c r="H38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2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>
        <v>42749</v>
      </c>
      <c r="G39" s="1">
        <v>825304400</v>
      </c>
      <c r="H39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2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>
        <v>41000</v>
      </c>
      <c r="G40" s="1">
        <v>320009267</v>
      </c>
      <c r="H40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2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>
        <v>40955</v>
      </c>
      <c r="G41" s="1">
        <v>189965903</v>
      </c>
      <c r="H4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2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>
        <v>42805</v>
      </c>
      <c r="G42" s="1">
        <v>699285638</v>
      </c>
      <c r="H42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2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>
        <v>40215</v>
      </c>
      <c r="G43" s="1">
        <v>382392299</v>
      </c>
      <c r="H43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2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>
        <v>41067</v>
      </c>
      <c r="G44" s="1">
        <v>994022214</v>
      </c>
      <c r="H44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2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>
        <v>41188</v>
      </c>
      <c r="G45" s="1">
        <v>759224212</v>
      </c>
      <c r="H45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2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>
        <v>42322</v>
      </c>
      <c r="G46" s="1">
        <v>223359620</v>
      </c>
      <c r="H46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2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>
        <v>42458</v>
      </c>
      <c r="G47" s="1">
        <v>902102267</v>
      </c>
      <c r="H47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2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>
        <v>42735</v>
      </c>
      <c r="G48" s="1">
        <v>331438481</v>
      </c>
      <c r="H48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2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>
        <v>40535</v>
      </c>
      <c r="G49" s="1">
        <v>617667090</v>
      </c>
      <c r="H49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2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>
        <v>41926</v>
      </c>
      <c r="G50" s="1">
        <v>787399423</v>
      </c>
      <c r="H50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2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>
        <v>40919</v>
      </c>
      <c r="G51" s="1">
        <v>837559306</v>
      </c>
      <c r="H5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2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>
        <v>40211</v>
      </c>
      <c r="G52" s="1">
        <v>385383069</v>
      </c>
      <c r="H52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2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>
        <v>41504</v>
      </c>
      <c r="G53" s="1">
        <v>918419539</v>
      </c>
      <c r="H53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2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>
        <v>41358</v>
      </c>
      <c r="G54" s="1">
        <v>844530045</v>
      </c>
      <c r="H54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2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>
        <v>40873</v>
      </c>
      <c r="G55" s="1">
        <v>441888415</v>
      </c>
      <c r="H55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2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>
        <v>41534</v>
      </c>
      <c r="G56" s="1">
        <v>508980977</v>
      </c>
      <c r="H56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2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>
        <v>41068</v>
      </c>
      <c r="G57" s="1">
        <v>114606559</v>
      </c>
      <c r="H57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2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>
        <v>40359</v>
      </c>
      <c r="G58" s="1">
        <v>647876489</v>
      </c>
      <c r="H58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2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>
        <v>42058</v>
      </c>
      <c r="G59" s="1">
        <v>868214595</v>
      </c>
      <c r="H59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2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>
        <v>40913</v>
      </c>
      <c r="G60" s="1">
        <v>955357205</v>
      </c>
      <c r="H60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2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>
        <v>41736</v>
      </c>
      <c r="G61" s="1">
        <v>259353148</v>
      </c>
      <c r="H6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2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>
        <v>41434</v>
      </c>
      <c r="G62" s="1">
        <v>450563752</v>
      </c>
      <c r="H62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2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>
        <v>41451</v>
      </c>
      <c r="G63" s="1">
        <v>569662845</v>
      </c>
      <c r="H63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2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>
        <v>40854</v>
      </c>
      <c r="G64" s="1">
        <v>177636754</v>
      </c>
      <c r="H64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2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>
        <v>40481</v>
      </c>
      <c r="G65" s="1">
        <v>705784308</v>
      </c>
      <c r="H65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2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>
        <v>41560</v>
      </c>
      <c r="G66" s="1">
        <v>505716836</v>
      </c>
      <c r="H66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2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>
        <v>41558</v>
      </c>
      <c r="G67" s="1">
        <v>699358165</v>
      </c>
      <c r="H67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2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>
        <v>41098</v>
      </c>
      <c r="G68" s="1">
        <v>228944623</v>
      </c>
      <c r="H68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2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>
        <v>42576</v>
      </c>
      <c r="G69" s="1">
        <v>807025039</v>
      </c>
      <c r="H69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2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>
        <v>40475</v>
      </c>
      <c r="G70" s="1">
        <v>166460740</v>
      </c>
      <c r="H70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2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>
        <v>42119</v>
      </c>
      <c r="G71" s="1">
        <v>610425555</v>
      </c>
      <c r="H7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2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>
        <v>41387</v>
      </c>
      <c r="G72" s="1">
        <v>462405812</v>
      </c>
      <c r="H72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2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>
        <v>42230</v>
      </c>
      <c r="G73" s="1">
        <v>816200339</v>
      </c>
      <c r="H73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2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>
        <v>40689</v>
      </c>
      <c r="G74" s="1">
        <v>585920464</v>
      </c>
      <c r="H74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2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>
        <v>42875</v>
      </c>
      <c r="G75" s="1">
        <v>555990016</v>
      </c>
      <c r="H75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2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>
        <v>41460</v>
      </c>
      <c r="G76" s="1">
        <v>231145322</v>
      </c>
      <c r="H76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2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>
        <v>41949</v>
      </c>
      <c r="G77" s="1">
        <v>986435210</v>
      </c>
      <c r="H77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2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>
        <v>41940</v>
      </c>
      <c r="G78" s="1">
        <v>217221009</v>
      </c>
      <c r="H78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2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>
        <v>40801</v>
      </c>
      <c r="G79" s="1">
        <v>789176547</v>
      </c>
      <c r="H79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2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>
        <v>41058</v>
      </c>
      <c r="G80" s="1">
        <v>688288152</v>
      </c>
      <c r="H80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2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>
        <v>41475</v>
      </c>
      <c r="G81" s="1">
        <v>670854651</v>
      </c>
      <c r="H8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2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>
        <v>41203</v>
      </c>
      <c r="G82" s="1">
        <v>213487374</v>
      </c>
      <c r="H82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2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>
        <v>41170</v>
      </c>
      <c r="G83" s="1">
        <v>663110148</v>
      </c>
      <c r="H83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2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>
        <v>42689</v>
      </c>
      <c r="G84" s="1">
        <v>286959302</v>
      </c>
      <c r="H84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2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>
        <v>40547</v>
      </c>
      <c r="G85" s="1">
        <v>122583663</v>
      </c>
      <c r="H85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2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>
        <v>40986</v>
      </c>
      <c r="G86" s="1">
        <v>827844560</v>
      </c>
      <c r="H86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2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>
        <v>40956</v>
      </c>
      <c r="G87" s="1">
        <v>430915820</v>
      </c>
      <c r="H87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2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>
        <v>40559</v>
      </c>
      <c r="G88" s="1">
        <v>180283772</v>
      </c>
      <c r="H88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2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>
        <v>41673</v>
      </c>
      <c r="G89" s="1">
        <v>494747245</v>
      </c>
      <c r="H89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2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>
        <v>41029</v>
      </c>
      <c r="G90" s="1">
        <v>513417565</v>
      </c>
      <c r="H90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2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>
        <v>42666</v>
      </c>
      <c r="G91" s="1">
        <v>345718562</v>
      </c>
      <c r="H9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2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>
        <v>42710</v>
      </c>
      <c r="G92" s="1">
        <v>621386563</v>
      </c>
      <c r="H92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2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>
        <v>41827</v>
      </c>
      <c r="G93" s="1">
        <v>240470397</v>
      </c>
      <c r="H93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2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>
        <v>41073</v>
      </c>
      <c r="G94" s="1">
        <v>423331391</v>
      </c>
      <c r="H94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2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>
        <v>40508</v>
      </c>
      <c r="G95" s="1">
        <v>660643374</v>
      </c>
      <c r="H95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2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>
        <v>40582</v>
      </c>
      <c r="G96" s="1">
        <v>963392674</v>
      </c>
      <c r="H96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2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>
        <v>40750</v>
      </c>
      <c r="G97" s="1">
        <v>512878119</v>
      </c>
      <c r="H97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2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>
        <v>40858</v>
      </c>
      <c r="G98" s="1">
        <v>810711038</v>
      </c>
      <c r="H98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2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>
        <v>42522</v>
      </c>
      <c r="G99" s="1">
        <v>728815257</v>
      </c>
      <c r="H99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2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>
        <v>42215</v>
      </c>
      <c r="G100" s="1">
        <v>559427106</v>
      </c>
      <c r="H100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2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>
        <v>40949</v>
      </c>
      <c r="G101" s="1">
        <v>665095412</v>
      </c>
      <c r="H10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Tables_Charts</vt:lpstr>
      <vt:lpstr>Summary_Tables</vt:lpstr>
      <vt:lpstr>Refined_Data</vt:lpstr>
      <vt:lpstr>Raw_Data</vt:lpstr>
      <vt:lpstr>Tables_Charts!Extract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patel</dc:creator>
  <cp:lastModifiedBy>LightHouse 24</cp:lastModifiedBy>
  <dcterms:created xsi:type="dcterms:W3CDTF">2020-01-07T09:43:14Z</dcterms:created>
  <dcterms:modified xsi:type="dcterms:W3CDTF">2025-12-23T16:47:25Z</dcterms:modified>
</cp:coreProperties>
</file>